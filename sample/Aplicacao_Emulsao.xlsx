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presassk-my.sharepoint.com/personal/jose_queiroz_enaex_com/Documents/1. US MINERAÇÃO VALE VERDE/01. DESMONTE/POWER BI/Base/"/>
    </mc:Choice>
  </mc:AlternateContent>
  <xr:revisionPtr revIDLastSave="774" documentId="8_{F7D01440-B9B3-4717-9E9E-B29861869110}" xr6:coauthVersionLast="47" xr6:coauthVersionMax="47" xr10:uidLastSave="{F3FAEA6B-80CA-4406-9567-5D1C36EF16F1}"/>
  <bookViews>
    <workbookView xWindow="-120" yWindow="-120" windowWidth="29040" windowHeight="15720" firstSheet="1" activeTab="1" xr2:uid="{BB67ACB4-68B6-49C9-8823-FB117951CE9A}"/>
  </bookViews>
  <sheets>
    <sheet name="Entrada" sheetId="10" r:id="rId1"/>
    <sheet name="Ritmo do Mês" sheetId="11" r:id="rId2"/>
  </sheets>
  <definedNames>
    <definedName name="_xlnm._FilterDatabase" localSheetId="0" hidden="1">Entrada!$A$1:$I$1159</definedName>
    <definedName name="_xlnm._FilterDatabase" localSheetId="1" hidden="1">'Ritmo do Mês'!$A$1:$G$1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9" i="10" l="1"/>
  <c r="H670" i="10"/>
  <c r="E587" i="10"/>
  <c r="E586" i="10"/>
  <c r="E510" i="10"/>
  <c r="E509" i="10"/>
  <c r="E508" i="10"/>
  <c r="E507" i="10"/>
  <c r="E506" i="10"/>
  <c r="E505" i="10"/>
  <c r="E502" i="10" l="1"/>
  <c r="E503" i="10"/>
  <c r="E504" i="10"/>
  <c r="E487" i="10" l="1"/>
  <c r="E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0" i="10"/>
  <c r="E349" i="10"/>
  <c r="E348" i="10"/>
  <c r="E347" i="10"/>
  <c r="E346" i="10"/>
  <c r="E345" i="10"/>
  <c r="E344" i="10"/>
  <c r="E343" i="10"/>
  <c r="E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I2" i="10"/>
  <c r="I3" i="10" s="1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I87" i="10" s="1"/>
  <c r="I88" i="10" s="1"/>
  <c r="I89" i="10" s="1"/>
  <c r="I90" i="10" s="1"/>
  <c r="I91" i="10" s="1"/>
  <c r="I92" i="10" s="1"/>
  <c r="I93" i="10" s="1"/>
  <c r="I94" i="10" s="1"/>
  <c r="I95" i="10" s="1"/>
  <c r="I96" i="10" s="1"/>
  <c r="I97" i="10" s="1"/>
  <c r="I98" i="10" s="1"/>
  <c r="I99" i="10" s="1"/>
  <c r="I100" i="10" s="1"/>
  <c r="I101" i="10" s="1"/>
  <c r="I102" i="10" s="1"/>
  <c r="I103" i="10" s="1"/>
  <c r="I104" i="10" s="1"/>
  <c r="I105" i="10" s="1"/>
  <c r="I106" i="10" s="1"/>
  <c r="I107" i="10" s="1"/>
  <c r="I108" i="10" s="1"/>
  <c r="I109" i="10" s="1"/>
  <c r="I110" i="10" s="1"/>
  <c r="I111" i="10" s="1"/>
  <c r="I112" i="10" s="1"/>
  <c r="I113" i="10" s="1"/>
  <c r="I114" i="10" s="1"/>
  <c r="I115" i="10" s="1"/>
  <c r="I116" i="10" s="1"/>
  <c r="I117" i="10" s="1"/>
  <c r="I118" i="10" s="1"/>
  <c r="I119" i="10" s="1"/>
  <c r="I120" i="10" s="1"/>
  <c r="I121" i="10" s="1"/>
  <c r="I122" i="10" s="1"/>
  <c r="I123" i="10" s="1"/>
  <c r="I124" i="10" s="1"/>
  <c r="I125" i="10" s="1"/>
  <c r="I126" i="10" s="1"/>
  <c r="I127" i="10" s="1"/>
  <c r="I128" i="10" s="1"/>
  <c r="I129" i="10" s="1"/>
  <c r="I130" i="10" s="1"/>
  <c r="I131" i="10" s="1"/>
  <c r="I132" i="10" s="1"/>
  <c r="I133" i="10" s="1"/>
  <c r="I134" i="10" s="1"/>
  <c r="I135" i="10" s="1"/>
  <c r="I136" i="10" s="1"/>
  <c r="I137" i="10" s="1"/>
  <c r="I138" i="10" s="1"/>
  <c r="I139" i="10" s="1"/>
  <c r="I140" i="10" s="1"/>
  <c r="I141" i="10" s="1"/>
  <c r="I142" i="10" s="1"/>
  <c r="I143" i="10" s="1"/>
  <c r="I144" i="10" s="1"/>
  <c r="I145" i="10" s="1"/>
  <c r="I146" i="10" s="1"/>
  <c r="I147" i="10" s="1"/>
  <c r="I148" i="10" s="1"/>
  <c r="I149" i="10" s="1"/>
  <c r="I150" i="10" s="1"/>
  <c r="I151" i="10" s="1"/>
  <c r="I152" i="10" s="1"/>
  <c r="I153" i="10" s="1"/>
  <c r="I154" i="10" s="1"/>
  <c r="I155" i="10" s="1"/>
  <c r="I156" i="10" s="1"/>
  <c r="I157" i="10" s="1"/>
  <c r="I158" i="10" s="1"/>
  <c r="I159" i="10" s="1"/>
  <c r="I160" i="10" s="1"/>
  <c r="I161" i="10" s="1"/>
  <c r="I162" i="10" s="1"/>
  <c r="I163" i="10" s="1"/>
  <c r="I164" i="10" s="1"/>
  <c r="I165" i="10" s="1"/>
  <c r="I166" i="10" s="1"/>
  <c r="I167" i="10" s="1"/>
  <c r="I168" i="10" s="1"/>
  <c r="I169" i="10" s="1"/>
  <c r="I170" i="10" s="1"/>
  <c r="I171" i="10" s="1"/>
  <c r="I172" i="10" s="1"/>
  <c r="I173" i="10" s="1"/>
  <c r="I174" i="10" s="1"/>
  <c r="I175" i="10" s="1"/>
  <c r="I176" i="10" s="1"/>
  <c r="I177" i="10" s="1"/>
  <c r="I178" i="10" s="1"/>
  <c r="I179" i="10" s="1"/>
  <c r="I180" i="10" s="1"/>
  <c r="I181" i="10" s="1"/>
  <c r="I182" i="10" s="1"/>
  <c r="I183" i="10" s="1"/>
  <c r="I184" i="10" s="1"/>
  <c r="I185" i="10" s="1"/>
  <c r="I186" i="10" s="1"/>
  <c r="I187" i="10" s="1"/>
  <c r="I188" i="10" s="1"/>
  <c r="I189" i="10" s="1"/>
  <c r="I190" i="10" s="1"/>
  <c r="I191" i="10" s="1"/>
  <c r="I192" i="10" s="1"/>
  <c r="I193" i="10" s="1"/>
  <c r="I194" i="10" s="1"/>
  <c r="I195" i="10" s="1"/>
  <c r="I196" i="10" s="1"/>
  <c r="I197" i="10" s="1"/>
  <c r="I198" i="10" s="1"/>
  <c r="I199" i="10" s="1"/>
  <c r="I200" i="10" s="1"/>
  <c r="I201" i="10" s="1"/>
  <c r="I202" i="10" s="1"/>
  <c r="I203" i="10" s="1"/>
  <c r="I204" i="10" s="1"/>
  <c r="I205" i="10" s="1"/>
  <c r="I206" i="10" s="1"/>
  <c r="I207" i="10" s="1"/>
  <c r="I208" i="10" s="1"/>
  <c r="I209" i="10" s="1"/>
  <c r="I210" i="10" s="1"/>
  <c r="I211" i="10" s="1"/>
  <c r="I212" i="10" s="1"/>
  <c r="I213" i="10" s="1"/>
  <c r="I214" i="10" s="1"/>
  <c r="I215" i="10" s="1"/>
  <c r="I216" i="10" s="1"/>
  <c r="I217" i="10" s="1"/>
  <c r="I218" i="10" s="1"/>
  <c r="I219" i="10" s="1"/>
  <c r="I220" i="10" s="1"/>
  <c r="I221" i="10" s="1"/>
  <c r="I222" i="10" s="1"/>
  <c r="I223" i="10" s="1"/>
  <c r="I224" i="10" s="1"/>
  <c r="I225" i="10" s="1"/>
  <c r="I226" i="10" s="1"/>
  <c r="I227" i="10" s="1"/>
  <c r="I228" i="10" s="1"/>
  <c r="I229" i="10" s="1"/>
  <c r="I230" i="10" s="1"/>
  <c r="I231" i="10" s="1"/>
  <c r="I232" i="10" s="1"/>
  <c r="I233" i="10" s="1"/>
  <c r="I234" i="10" s="1"/>
  <c r="I235" i="10" s="1"/>
  <c r="I236" i="10" s="1"/>
  <c r="I237" i="10" s="1"/>
  <c r="I238" i="10" s="1"/>
  <c r="I239" i="10" s="1"/>
  <c r="I240" i="10" s="1"/>
  <c r="I241" i="10" s="1"/>
  <c r="I242" i="10" s="1"/>
  <c r="I243" i="10" s="1"/>
  <c r="I244" i="10" s="1"/>
  <c r="I245" i="10" s="1"/>
  <c r="I246" i="10" s="1"/>
  <c r="I247" i="10" s="1"/>
  <c r="I248" i="10" s="1"/>
  <c r="I249" i="10" s="1"/>
  <c r="I250" i="10" s="1"/>
  <c r="I251" i="10" s="1"/>
  <c r="I252" i="10" s="1"/>
  <c r="I253" i="10" s="1"/>
  <c r="I254" i="10" s="1"/>
  <c r="I255" i="10" s="1"/>
  <c r="I256" i="10" s="1"/>
  <c r="I257" i="10" s="1"/>
  <c r="I258" i="10" s="1"/>
  <c r="I259" i="10" s="1"/>
  <c r="I260" i="10" s="1"/>
  <c r="I261" i="10" s="1"/>
  <c r="I262" i="10" s="1"/>
  <c r="I263" i="10" s="1"/>
  <c r="I264" i="10" s="1"/>
  <c r="I265" i="10" s="1"/>
  <c r="I266" i="10" s="1"/>
  <c r="I267" i="10" s="1"/>
  <c r="I268" i="10" s="1"/>
  <c r="I269" i="10" s="1"/>
  <c r="I270" i="10" s="1"/>
  <c r="I271" i="10" s="1"/>
  <c r="I272" i="10" s="1"/>
  <c r="I273" i="10" s="1"/>
  <c r="I274" i="10" s="1"/>
  <c r="I275" i="10" s="1"/>
  <c r="I276" i="10" s="1"/>
  <c r="I277" i="10" s="1"/>
  <c r="I278" i="10" s="1"/>
  <c r="I279" i="10" s="1"/>
  <c r="I280" i="10" s="1"/>
  <c r="I281" i="10" s="1"/>
  <c r="I282" i="10" s="1"/>
  <c r="I283" i="10" s="1"/>
  <c r="I284" i="10" s="1"/>
  <c r="I285" i="10" s="1"/>
  <c r="I286" i="10" s="1"/>
  <c r="I287" i="10" s="1"/>
  <c r="I288" i="10" s="1"/>
  <c r="I289" i="10" s="1"/>
  <c r="I290" i="10" s="1"/>
  <c r="I291" i="10" s="1"/>
  <c r="I292" i="10" s="1"/>
  <c r="I293" i="10" s="1"/>
  <c r="I294" i="10" s="1"/>
  <c r="I295" i="10" s="1"/>
  <c r="I296" i="10" s="1"/>
  <c r="I297" i="10" s="1"/>
  <c r="I298" i="10" s="1"/>
  <c r="I299" i="10" s="1"/>
  <c r="I300" i="10" s="1"/>
  <c r="I301" i="10" s="1"/>
  <c r="I302" i="10" s="1"/>
  <c r="I303" i="10" s="1"/>
  <c r="I304" i="10" s="1"/>
  <c r="I305" i="10" s="1"/>
  <c r="I306" i="10" s="1"/>
  <c r="I307" i="10" s="1"/>
  <c r="I308" i="10" s="1"/>
  <c r="I309" i="10" s="1"/>
  <c r="I310" i="10" s="1"/>
  <c r="I311" i="10" s="1"/>
  <c r="I312" i="10" s="1"/>
  <c r="I313" i="10" s="1"/>
  <c r="I314" i="10" s="1"/>
  <c r="I315" i="10" s="1"/>
  <c r="I316" i="10" s="1"/>
  <c r="I317" i="10" s="1"/>
  <c r="I318" i="10" s="1"/>
  <c r="I319" i="10" s="1"/>
  <c r="I320" i="10" s="1"/>
  <c r="I321" i="10" s="1"/>
  <c r="I322" i="10" s="1"/>
  <c r="I323" i="10" s="1"/>
  <c r="I324" i="10" s="1"/>
  <c r="I325" i="10" s="1"/>
  <c r="I326" i="10" s="1"/>
  <c r="I327" i="10" s="1"/>
  <c r="I328" i="10" s="1"/>
  <c r="I329" i="10" s="1"/>
  <c r="I330" i="10" s="1"/>
  <c r="I331" i="10" s="1"/>
  <c r="I332" i="10" s="1"/>
  <c r="I333" i="10" s="1"/>
  <c r="I334" i="10" s="1"/>
  <c r="I335" i="10" s="1"/>
  <c r="I336" i="10" s="1"/>
  <c r="I337" i="10" s="1"/>
  <c r="I338" i="10" s="1"/>
  <c r="I339" i="10" s="1"/>
  <c r="I340" i="10" s="1"/>
  <c r="I341" i="10" s="1"/>
  <c r="I342" i="10" s="1"/>
  <c r="I343" i="10" s="1"/>
  <c r="I344" i="10" s="1"/>
  <c r="I345" i="10" s="1"/>
  <c r="I346" i="10" s="1"/>
  <c r="I347" i="10" s="1"/>
  <c r="I348" i="10" s="1"/>
  <c r="I349" i="10" s="1"/>
  <c r="I350" i="10" s="1"/>
  <c r="I351" i="10" s="1"/>
  <c r="I352" i="10" s="1"/>
  <c r="I353" i="10" s="1"/>
  <c r="I354" i="10" s="1"/>
  <c r="I355" i="10" s="1"/>
  <c r="I356" i="10" s="1"/>
  <c r="I357" i="10" s="1"/>
  <c r="I358" i="10" s="1"/>
  <c r="I359" i="10" s="1"/>
  <c r="I360" i="10" s="1"/>
  <c r="I361" i="10" s="1"/>
  <c r="I362" i="10" s="1"/>
  <c r="I363" i="10" s="1"/>
  <c r="I364" i="10" s="1"/>
  <c r="I365" i="10" s="1"/>
  <c r="I366" i="10" s="1"/>
  <c r="I367" i="10" s="1"/>
  <c r="I368" i="10" s="1"/>
  <c r="I369" i="10" s="1"/>
  <c r="I370" i="10" s="1"/>
  <c r="I371" i="10" s="1"/>
  <c r="I372" i="10" s="1"/>
  <c r="I373" i="10" s="1"/>
  <c r="I374" i="10" s="1"/>
  <c r="I375" i="10" s="1"/>
  <c r="I376" i="10" s="1"/>
  <c r="I377" i="10" s="1"/>
  <c r="I378" i="10" s="1"/>
  <c r="I379" i="10" s="1"/>
  <c r="I380" i="10" s="1"/>
  <c r="I381" i="10" s="1"/>
  <c r="I382" i="10" s="1"/>
  <c r="I383" i="10" s="1"/>
  <c r="I384" i="10" s="1"/>
  <c r="I385" i="10" s="1"/>
  <c r="I386" i="10" s="1"/>
  <c r="I387" i="10" s="1"/>
  <c r="I388" i="10" s="1"/>
  <c r="I389" i="10" s="1"/>
  <c r="I390" i="10" s="1"/>
  <c r="I391" i="10" s="1"/>
  <c r="I392" i="10" s="1"/>
  <c r="I393" i="10" s="1"/>
  <c r="I394" i="10" s="1"/>
  <c r="I395" i="10" s="1"/>
  <c r="I396" i="10" s="1"/>
  <c r="I397" i="10" s="1"/>
  <c r="I398" i="10" s="1"/>
  <c r="I399" i="10" s="1"/>
  <c r="I400" i="10" s="1"/>
  <c r="I401" i="10" s="1"/>
  <c r="I402" i="10" s="1"/>
  <c r="I403" i="10" s="1"/>
  <c r="I404" i="10" s="1"/>
  <c r="I405" i="10" s="1"/>
  <c r="I406" i="10" s="1"/>
  <c r="I407" i="10" s="1"/>
  <c r="I408" i="10" s="1"/>
  <c r="I409" i="10" s="1"/>
  <c r="I410" i="10" s="1"/>
  <c r="I411" i="10" s="1"/>
  <c r="I412" i="10" s="1"/>
  <c r="I413" i="10" s="1"/>
  <c r="I414" i="10" s="1"/>
  <c r="I415" i="10" s="1"/>
  <c r="I416" i="10" s="1"/>
  <c r="I417" i="10" s="1"/>
  <c r="I418" i="10" s="1"/>
  <c r="I419" i="10" s="1"/>
  <c r="I420" i="10" s="1"/>
  <c r="I421" i="10" s="1"/>
  <c r="I422" i="10" s="1"/>
  <c r="I423" i="10" s="1"/>
  <c r="I424" i="10" s="1"/>
  <c r="I425" i="10" s="1"/>
  <c r="I426" i="10" s="1"/>
  <c r="I427" i="10" s="1"/>
  <c r="I428" i="10" s="1"/>
  <c r="I429" i="10" s="1"/>
  <c r="I430" i="10" s="1"/>
  <c r="I431" i="10" s="1"/>
  <c r="I432" i="10" s="1"/>
  <c r="I433" i="10" s="1"/>
  <c r="I434" i="10" s="1"/>
  <c r="I435" i="10" s="1"/>
  <c r="I436" i="10" s="1"/>
  <c r="I437" i="10" s="1"/>
  <c r="I438" i="10" s="1"/>
  <c r="I439" i="10" s="1"/>
  <c r="I440" i="10" s="1"/>
  <c r="I441" i="10" s="1"/>
  <c r="I442" i="10" s="1"/>
  <c r="I443" i="10" s="1"/>
  <c r="I444" i="10" s="1"/>
  <c r="I445" i="10" s="1"/>
  <c r="I446" i="10" s="1"/>
  <c r="I447" i="10" s="1"/>
  <c r="I448" i="10" s="1"/>
  <c r="I449" i="10" s="1"/>
  <c r="I450" i="10" s="1"/>
  <c r="I451" i="10" s="1"/>
  <c r="I452" i="10" s="1"/>
  <c r="I453" i="10" s="1"/>
  <c r="I454" i="10" s="1"/>
  <c r="I455" i="10" s="1"/>
  <c r="I456" i="10" s="1"/>
  <c r="I457" i="10" s="1"/>
  <c r="I458" i="10" s="1"/>
  <c r="I459" i="10" s="1"/>
  <c r="I460" i="10" s="1"/>
  <c r="I461" i="10" s="1"/>
  <c r="I462" i="10" s="1"/>
  <c r="I463" i="10" s="1"/>
  <c r="I464" i="10" s="1"/>
  <c r="I465" i="10" s="1"/>
  <c r="I466" i="10" s="1"/>
  <c r="I467" i="10" s="1"/>
  <c r="I468" i="10" s="1"/>
  <c r="I469" i="10" s="1"/>
  <c r="I470" i="10" s="1"/>
  <c r="I471" i="10" s="1"/>
  <c r="I472" i="10" s="1"/>
  <c r="I473" i="10" s="1"/>
  <c r="I474" i="10" s="1"/>
  <c r="I475" i="10" s="1"/>
  <c r="I476" i="10" s="1"/>
  <c r="I477" i="10" s="1"/>
  <c r="I478" i="10" s="1"/>
  <c r="I479" i="10" s="1"/>
  <c r="I480" i="10" s="1"/>
  <c r="I481" i="10" s="1"/>
  <c r="I482" i="10" s="1"/>
  <c r="I483" i="10" s="1"/>
  <c r="I484" i="10" s="1"/>
  <c r="I485" i="10" s="1"/>
  <c r="I486" i="10" s="1"/>
  <c r="I487" i="10" s="1"/>
  <c r="H2" i="10"/>
  <c r="H3" i="10" s="1"/>
  <c r="H4" i="10" s="1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H125" i="10" s="1"/>
  <c r="H126" i="10" s="1"/>
  <c r="H127" i="10" s="1"/>
  <c r="H128" i="10" s="1"/>
  <c r="H129" i="10" s="1"/>
  <c r="H130" i="10" s="1"/>
  <c r="H131" i="10" s="1"/>
  <c r="H132" i="10" s="1"/>
  <c r="H133" i="10" s="1"/>
  <c r="H134" i="10" s="1"/>
  <c r="H135" i="10" s="1"/>
  <c r="H136" i="10" s="1"/>
  <c r="H137" i="10" s="1"/>
  <c r="H138" i="10" s="1"/>
  <c r="H139" i="10" s="1"/>
  <c r="H140" i="10" s="1"/>
  <c r="H141" i="10" s="1"/>
  <c r="H142" i="10" s="1"/>
  <c r="H143" i="10" s="1"/>
  <c r="H144" i="10" s="1"/>
  <c r="H145" i="10" s="1"/>
  <c r="H146" i="10" s="1"/>
  <c r="H147" i="10" s="1"/>
  <c r="H148" i="10" s="1"/>
  <c r="H149" i="10" s="1"/>
  <c r="H150" i="10" s="1"/>
  <c r="H151" i="10" s="1"/>
  <c r="H152" i="10" s="1"/>
  <c r="H153" i="10" s="1"/>
  <c r="H154" i="10" s="1"/>
  <c r="H155" i="10" s="1"/>
  <c r="H156" i="10" s="1"/>
  <c r="H157" i="10" s="1"/>
  <c r="H158" i="10" s="1"/>
  <c r="H159" i="10" s="1"/>
  <c r="H160" i="10" s="1"/>
  <c r="H161" i="10" s="1"/>
  <c r="H162" i="10" s="1"/>
  <c r="H163" i="10" s="1"/>
  <c r="H164" i="10" s="1"/>
  <c r="H165" i="10" s="1"/>
  <c r="H166" i="10" s="1"/>
  <c r="H167" i="10" s="1"/>
  <c r="H168" i="10" s="1"/>
  <c r="H169" i="10" s="1"/>
  <c r="H170" i="10" s="1"/>
  <c r="H171" i="10" s="1"/>
  <c r="H172" i="10" s="1"/>
  <c r="H173" i="10" s="1"/>
  <c r="H174" i="10" s="1"/>
  <c r="H175" i="10" s="1"/>
  <c r="H176" i="10" s="1"/>
  <c r="H177" i="10" s="1"/>
  <c r="H178" i="10" s="1"/>
  <c r="H179" i="10" s="1"/>
  <c r="H180" i="10" s="1"/>
  <c r="H181" i="10" s="1"/>
  <c r="H182" i="10" s="1"/>
  <c r="H183" i="10" s="1"/>
  <c r="H184" i="10" s="1"/>
  <c r="H185" i="10" s="1"/>
  <c r="H186" i="10" s="1"/>
  <c r="H187" i="10" s="1"/>
  <c r="H188" i="10" s="1"/>
  <c r="H189" i="10" s="1"/>
  <c r="H190" i="10" s="1"/>
  <c r="H191" i="10" s="1"/>
  <c r="H192" i="10" s="1"/>
  <c r="H193" i="10" s="1"/>
  <c r="H194" i="10" s="1"/>
  <c r="H195" i="10" s="1"/>
  <c r="H196" i="10" s="1"/>
  <c r="H197" i="10" s="1"/>
  <c r="H198" i="10" s="1"/>
  <c r="H199" i="10" s="1"/>
  <c r="H200" i="10" s="1"/>
  <c r="H201" i="10" s="1"/>
  <c r="H202" i="10" s="1"/>
  <c r="H203" i="10" s="1"/>
  <c r="H204" i="10" s="1"/>
  <c r="H205" i="10" s="1"/>
  <c r="H206" i="10" s="1"/>
  <c r="H207" i="10" s="1"/>
  <c r="H208" i="10" s="1"/>
  <c r="H209" i="10" s="1"/>
  <c r="H210" i="10" s="1"/>
  <c r="H211" i="10" s="1"/>
  <c r="H212" i="10" s="1"/>
  <c r="H213" i="10" s="1"/>
  <c r="H214" i="10" s="1"/>
  <c r="H215" i="10" s="1"/>
  <c r="H216" i="10" s="1"/>
  <c r="H217" i="10" s="1"/>
  <c r="H218" i="10" s="1"/>
  <c r="H219" i="10" s="1"/>
  <c r="H220" i="10" s="1"/>
  <c r="H221" i="10" s="1"/>
  <c r="H222" i="10" s="1"/>
  <c r="H223" i="10" s="1"/>
  <c r="H224" i="10" s="1"/>
  <c r="H225" i="10" s="1"/>
  <c r="H226" i="10" s="1"/>
  <c r="H227" i="10" s="1"/>
  <c r="H228" i="10" s="1"/>
  <c r="H229" i="10" s="1"/>
  <c r="H230" i="10" s="1"/>
  <c r="H231" i="10" s="1"/>
  <c r="H232" i="10" s="1"/>
  <c r="H233" i="10" s="1"/>
  <c r="H234" i="10" s="1"/>
  <c r="H235" i="10" s="1"/>
  <c r="H236" i="10" s="1"/>
  <c r="H237" i="10" s="1"/>
  <c r="H238" i="10" s="1"/>
  <c r="H239" i="10" s="1"/>
  <c r="H240" i="10" s="1"/>
  <c r="H241" i="10" s="1"/>
  <c r="H242" i="10" s="1"/>
  <c r="H243" i="10" s="1"/>
  <c r="H244" i="10" s="1"/>
  <c r="H245" i="10" s="1"/>
  <c r="H246" i="10" s="1"/>
  <c r="H247" i="10" s="1"/>
  <c r="H248" i="10" s="1"/>
  <c r="H249" i="10" s="1"/>
  <c r="H250" i="10" s="1"/>
  <c r="H251" i="10" s="1"/>
  <c r="H252" i="10" s="1"/>
  <c r="H253" i="10" s="1"/>
  <c r="H254" i="10" s="1"/>
  <c r="H255" i="10" s="1"/>
  <c r="H256" i="10" s="1"/>
  <c r="H257" i="10" s="1"/>
  <c r="H258" i="10" s="1"/>
  <c r="H259" i="10" s="1"/>
  <c r="H260" i="10" s="1"/>
  <c r="H261" i="10" s="1"/>
  <c r="H262" i="10" s="1"/>
  <c r="H263" i="10" s="1"/>
  <c r="H264" i="10" s="1"/>
  <c r="H265" i="10" s="1"/>
  <c r="H266" i="10" s="1"/>
  <c r="H267" i="10" s="1"/>
  <c r="H268" i="10" s="1"/>
  <c r="H269" i="10" s="1"/>
  <c r="H270" i="10" s="1"/>
  <c r="H271" i="10" s="1"/>
  <c r="H272" i="10" s="1"/>
  <c r="H273" i="10" s="1"/>
  <c r="H274" i="10" s="1"/>
  <c r="H275" i="10" s="1"/>
  <c r="H276" i="10" s="1"/>
  <c r="H277" i="10" s="1"/>
  <c r="H278" i="10" s="1"/>
  <c r="H279" i="10" s="1"/>
  <c r="H280" i="10" s="1"/>
  <c r="H281" i="10" s="1"/>
  <c r="H282" i="10" s="1"/>
  <c r="H283" i="10" s="1"/>
  <c r="H284" i="10" s="1"/>
  <c r="H285" i="10" s="1"/>
  <c r="H286" i="10" s="1"/>
  <c r="H287" i="10" s="1"/>
  <c r="H288" i="10" s="1"/>
  <c r="H289" i="10" s="1"/>
  <c r="H290" i="10" s="1"/>
  <c r="H291" i="10" s="1"/>
  <c r="H292" i="10" s="1"/>
  <c r="H293" i="10" s="1"/>
  <c r="H294" i="10" s="1"/>
  <c r="H295" i="10" s="1"/>
  <c r="H296" i="10" s="1"/>
  <c r="H297" i="10" s="1"/>
  <c r="H298" i="10" s="1"/>
  <c r="H299" i="10" s="1"/>
  <c r="H300" i="10" s="1"/>
  <c r="H301" i="10" s="1"/>
  <c r="H302" i="10" s="1"/>
  <c r="H303" i="10" s="1"/>
  <c r="H304" i="10" s="1"/>
  <c r="H305" i="10" s="1"/>
  <c r="H306" i="10" s="1"/>
  <c r="H307" i="10" s="1"/>
  <c r="H308" i="10" s="1"/>
  <c r="H309" i="10" s="1"/>
  <c r="H310" i="10" s="1"/>
  <c r="H311" i="10" s="1"/>
  <c r="H312" i="10" s="1"/>
  <c r="H313" i="10" s="1"/>
  <c r="H314" i="10" s="1"/>
  <c r="H315" i="10" s="1"/>
  <c r="H316" i="10" s="1"/>
  <c r="H317" i="10" s="1"/>
  <c r="H318" i="10" s="1"/>
  <c r="H319" i="10" s="1"/>
  <c r="H320" i="10" s="1"/>
  <c r="H321" i="10" s="1"/>
  <c r="H322" i="10" s="1"/>
  <c r="H323" i="10" s="1"/>
  <c r="H324" i="10" s="1"/>
  <c r="H325" i="10" s="1"/>
  <c r="H326" i="10" s="1"/>
  <c r="H327" i="10" s="1"/>
  <c r="H328" i="10" s="1"/>
  <c r="H329" i="10" s="1"/>
  <c r="H330" i="10" s="1"/>
  <c r="H331" i="10" s="1"/>
  <c r="H332" i="10" s="1"/>
  <c r="H333" i="10" s="1"/>
  <c r="H334" i="10" s="1"/>
  <c r="H335" i="10" s="1"/>
  <c r="H336" i="10" s="1"/>
  <c r="H337" i="10" s="1"/>
  <c r="H338" i="10" s="1"/>
  <c r="H339" i="10" s="1"/>
  <c r="H340" i="10" s="1"/>
  <c r="H341" i="10" s="1"/>
  <c r="H342" i="10" s="1"/>
  <c r="H343" i="10" s="1"/>
  <c r="H344" i="10" s="1"/>
  <c r="H345" i="10" s="1"/>
  <c r="H346" i="10" s="1"/>
  <c r="H347" i="10" s="1"/>
  <c r="H348" i="10" s="1"/>
  <c r="H349" i="10" s="1"/>
  <c r="H350" i="10" s="1"/>
  <c r="H351" i="10" s="1"/>
  <c r="H352" i="10" s="1"/>
  <c r="H353" i="10" s="1"/>
  <c r="H354" i="10" s="1"/>
  <c r="H355" i="10" s="1"/>
  <c r="H356" i="10" s="1"/>
  <c r="H357" i="10" s="1"/>
  <c r="H358" i="10" s="1"/>
  <c r="H359" i="10" s="1"/>
  <c r="H360" i="10" s="1"/>
  <c r="H361" i="10" s="1"/>
  <c r="H362" i="10" s="1"/>
  <c r="H363" i="10" s="1"/>
  <c r="H364" i="10" s="1"/>
  <c r="H365" i="10" s="1"/>
  <c r="H366" i="10" s="1"/>
  <c r="H367" i="10" s="1"/>
  <c r="H368" i="10" s="1"/>
  <c r="H369" i="10" s="1"/>
  <c r="H370" i="10" s="1"/>
  <c r="H371" i="10" s="1"/>
  <c r="H372" i="10" s="1"/>
  <c r="H373" i="10" s="1"/>
  <c r="H374" i="10" s="1"/>
  <c r="H375" i="10" s="1"/>
  <c r="H376" i="10" s="1"/>
  <c r="H377" i="10" s="1"/>
  <c r="H378" i="10" s="1"/>
  <c r="H379" i="10" s="1"/>
  <c r="H380" i="10" s="1"/>
  <c r="H381" i="10" s="1"/>
  <c r="H382" i="10" s="1"/>
  <c r="H383" i="10" s="1"/>
  <c r="H384" i="10" s="1"/>
  <c r="H385" i="10" s="1"/>
  <c r="H386" i="10" s="1"/>
  <c r="H387" i="10" s="1"/>
  <c r="H388" i="10" s="1"/>
  <c r="H389" i="10" s="1"/>
  <c r="H390" i="10" s="1"/>
  <c r="H391" i="10" s="1"/>
  <c r="H392" i="10" s="1"/>
  <c r="H393" i="10" s="1"/>
  <c r="H394" i="10" s="1"/>
  <c r="H395" i="10" s="1"/>
  <c r="H396" i="10" s="1"/>
  <c r="H397" i="10" s="1"/>
  <c r="H398" i="10" s="1"/>
  <c r="H399" i="10" s="1"/>
  <c r="H400" i="10" s="1"/>
  <c r="H401" i="10" s="1"/>
  <c r="H402" i="10" s="1"/>
  <c r="H403" i="10" s="1"/>
  <c r="H404" i="10" s="1"/>
  <c r="H405" i="10" s="1"/>
  <c r="H406" i="10" s="1"/>
  <c r="H407" i="10" s="1"/>
  <c r="H408" i="10" s="1"/>
  <c r="H409" i="10" s="1"/>
  <c r="H410" i="10" s="1"/>
  <c r="H411" i="10" s="1"/>
  <c r="H412" i="10" s="1"/>
  <c r="H413" i="10" s="1"/>
  <c r="H414" i="10" s="1"/>
  <c r="H415" i="10" s="1"/>
  <c r="H416" i="10" s="1"/>
  <c r="H417" i="10" s="1"/>
  <c r="H418" i="10" s="1"/>
  <c r="H419" i="10" s="1"/>
  <c r="H420" i="10" s="1"/>
  <c r="H421" i="10" s="1"/>
  <c r="H422" i="10" s="1"/>
  <c r="H423" i="10" s="1"/>
  <c r="H424" i="10" s="1"/>
  <c r="H425" i="10" s="1"/>
  <c r="H426" i="10" s="1"/>
  <c r="H427" i="10" s="1"/>
  <c r="H428" i="10" s="1"/>
  <c r="H429" i="10" s="1"/>
  <c r="H430" i="10" s="1"/>
  <c r="H431" i="10" s="1"/>
  <c r="H432" i="10" s="1"/>
  <c r="H433" i="10" s="1"/>
  <c r="H434" i="10" s="1"/>
  <c r="H435" i="10" s="1"/>
  <c r="H436" i="10" s="1"/>
  <c r="H437" i="10" s="1"/>
  <c r="H438" i="10" s="1"/>
  <c r="H439" i="10" s="1"/>
  <c r="H440" i="10" s="1"/>
  <c r="H441" i="10" s="1"/>
  <c r="H442" i="10" s="1"/>
  <c r="H443" i="10" s="1"/>
  <c r="H444" i="10" s="1"/>
  <c r="H445" i="10" s="1"/>
  <c r="H446" i="10" s="1"/>
  <c r="H447" i="10" s="1"/>
  <c r="H448" i="10" s="1"/>
  <c r="H449" i="10" s="1"/>
  <c r="H450" i="10" s="1"/>
  <c r="H451" i="10" s="1"/>
  <c r="H452" i="10" s="1"/>
  <c r="H453" i="10" s="1"/>
  <c r="H454" i="10" s="1"/>
  <c r="H455" i="10" s="1"/>
  <c r="H456" i="10" s="1"/>
  <c r="H457" i="10" s="1"/>
  <c r="H458" i="10" s="1"/>
  <c r="H459" i="10" s="1"/>
  <c r="H460" i="10" s="1"/>
  <c r="H461" i="10" s="1"/>
  <c r="H462" i="10" s="1"/>
  <c r="H463" i="10" s="1"/>
  <c r="H464" i="10" s="1"/>
  <c r="H465" i="10" s="1"/>
  <c r="H466" i="10" s="1"/>
  <c r="H467" i="10" s="1"/>
  <c r="H468" i="10" s="1"/>
  <c r="H469" i="10" s="1"/>
  <c r="H470" i="10" s="1"/>
  <c r="H471" i="10" s="1"/>
  <c r="H472" i="10" s="1"/>
  <c r="H473" i="10" s="1"/>
  <c r="H474" i="10" s="1"/>
  <c r="H475" i="10" s="1"/>
  <c r="H476" i="10" s="1"/>
  <c r="H477" i="10" s="1"/>
  <c r="H478" i="10" s="1"/>
  <c r="H479" i="10" s="1"/>
  <c r="H480" i="10" s="1"/>
  <c r="H481" i="10" s="1"/>
  <c r="H482" i="10" s="1"/>
  <c r="H483" i="10" s="1"/>
  <c r="H484" i="10" s="1"/>
  <c r="H485" i="10" s="1"/>
  <c r="H486" i="10" s="1"/>
  <c r="H487" i="10" s="1"/>
  <c r="E2" i="10"/>
  <c r="F3" i="11"/>
  <c r="E3" i="11" s="1"/>
  <c r="F4" i="11"/>
  <c r="E4" i="11" s="1"/>
  <c r="F5" i="11"/>
  <c r="E5" i="11" s="1"/>
  <c r="F6" i="11"/>
  <c r="E6" i="11" s="1"/>
  <c r="F7" i="11"/>
  <c r="F8" i="11"/>
  <c r="E8" i="11" s="1"/>
  <c r="F9" i="11"/>
  <c r="G9" i="11" s="1"/>
  <c r="F10" i="11"/>
  <c r="G10" i="11" s="1"/>
  <c r="F11" i="11"/>
  <c r="G11" i="11" s="1"/>
  <c r="F12" i="11"/>
  <c r="G12" i="11" s="1"/>
  <c r="F13" i="11"/>
  <c r="E13" i="11" s="1"/>
  <c r="F14" i="11"/>
  <c r="E14" i="11" s="1"/>
  <c r="F15" i="11"/>
  <c r="E15" i="11" s="1"/>
  <c r="F16" i="11"/>
  <c r="E16" i="11" s="1"/>
  <c r="F17" i="11"/>
  <c r="E17" i="11" s="1"/>
  <c r="F18" i="11"/>
  <c r="E18" i="11" s="1"/>
  <c r="F19" i="11"/>
  <c r="E19" i="11" s="1"/>
  <c r="F20" i="11"/>
  <c r="E20" i="11" s="1"/>
  <c r="F21" i="11"/>
  <c r="E21" i="11" s="1"/>
  <c r="F22" i="11"/>
  <c r="E22" i="11" s="1"/>
  <c r="F23" i="11"/>
  <c r="E23" i="11" s="1"/>
  <c r="F24" i="11"/>
  <c r="E24" i="11" s="1"/>
  <c r="F25" i="11"/>
  <c r="G25" i="11" s="1"/>
  <c r="F26" i="11"/>
  <c r="G26" i="11" s="1"/>
  <c r="F27" i="11"/>
  <c r="G27" i="11" s="1"/>
  <c r="F28" i="11"/>
  <c r="G28" i="11" s="1"/>
  <c r="F29" i="11"/>
  <c r="E29" i="11" s="1"/>
  <c r="F30" i="11"/>
  <c r="E30" i="11" s="1"/>
  <c r="F31" i="11"/>
  <c r="E31" i="11" s="1"/>
  <c r="F32" i="11"/>
  <c r="E32" i="11" s="1"/>
  <c r="F33" i="11"/>
  <c r="E33" i="11" s="1"/>
  <c r="F34" i="11"/>
  <c r="E34" i="11" s="1"/>
  <c r="F35" i="11"/>
  <c r="E35" i="11" s="1"/>
  <c r="F36" i="11"/>
  <c r="E36" i="11" s="1"/>
  <c r="F37" i="11"/>
  <c r="E37" i="11" s="1"/>
  <c r="F2" i="11"/>
  <c r="E2" i="11" s="1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7" i="11" l="1"/>
  <c r="G7" i="11"/>
  <c r="G24" i="11"/>
  <c r="G8" i="11"/>
  <c r="E12" i="11"/>
  <c r="G23" i="11"/>
  <c r="E27" i="11"/>
  <c r="E11" i="11"/>
  <c r="G2" i="11"/>
  <c r="G22" i="11"/>
  <c r="G6" i="11"/>
  <c r="E26" i="11"/>
  <c r="E10" i="11"/>
  <c r="G37" i="11"/>
  <c r="G21" i="11"/>
  <c r="G5" i="11"/>
  <c r="E25" i="11"/>
  <c r="E9" i="11"/>
  <c r="G36" i="11"/>
  <c r="G20" i="11"/>
  <c r="G4" i="11"/>
  <c r="G35" i="11"/>
  <c r="G19" i="11"/>
  <c r="G3" i="11"/>
  <c r="G34" i="11"/>
  <c r="G18" i="11"/>
  <c r="G33" i="11"/>
  <c r="G17" i="11"/>
  <c r="G32" i="11"/>
  <c r="G16" i="11"/>
  <c r="G31" i="11"/>
  <c r="G15" i="11"/>
  <c r="G30" i="11"/>
  <c r="G14" i="11"/>
  <c r="G29" i="11"/>
  <c r="G13" i="11"/>
  <c r="E28" i="11"/>
  <c r="H488" i="10" l="1"/>
  <c r="H489" i="10" s="1"/>
  <c r="H490" i="10" s="1"/>
  <c r="H491" i="10" s="1"/>
  <c r="H492" i="10" s="1"/>
  <c r="H493" i="10" s="1"/>
  <c r="H494" i="10" s="1"/>
  <c r="H495" i="10" s="1"/>
  <c r="H496" i="10" s="1"/>
  <c r="H497" i="10" s="1"/>
  <c r="H498" i="10" s="1"/>
  <c r="H499" i="10" s="1"/>
  <c r="I488" i="10"/>
  <c r="I489" i="10" s="1"/>
  <c r="I490" i="10" s="1"/>
  <c r="I491" i="10" s="1"/>
  <c r="I492" i="10" s="1"/>
  <c r="I493" i="10" s="1"/>
  <c r="I494" i="10" s="1"/>
  <c r="I495" i="10" s="1"/>
  <c r="I496" i="10" s="1"/>
  <c r="I497" i="10" s="1"/>
  <c r="I498" i="10" s="1"/>
  <c r="I499" i="10" s="1"/>
  <c r="I500" i="10" s="1"/>
  <c r="I501" i="10" s="1"/>
  <c r="H500" i="10" l="1"/>
  <c r="H501" i="10" s="1"/>
  <c r="H502" i="10" s="1"/>
  <c r="H503" i="10" s="1"/>
  <c r="H504" i="10" s="1"/>
  <c r="H505" i="10" s="1"/>
  <c r="H506" i="10" s="1"/>
  <c r="H507" i="10" s="1"/>
  <c r="H508" i="10" s="1"/>
  <c r="H509" i="10" s="1"/>
  <c r="H510" i="10" s="1"/>
  <c r="H511" i="10" s="1"/>
  <c r="H512" i="10" s="1"/>
  <c r="H513" i="10" s="1"/>
  <c r="H514" i="10" s="1"/>
  <c r="H515" i="10" s="1"/>
  <c r="H516" i="10" s="1"/>
  <c r="H517" i="10" s="1"/>
  <c r="H518" i="10" s="1"/>
  <c r="H519" i="10" s="1"/>
  <c r="H520" i="10" s="1"/>
  <c r="H521" i="10" s="1"/>
  <c r="H522" i="10" s="1"/>
  <c r="H523" i="10" s="1"/>
  <c r="H524" i="10" s="1"/>
  <c r="H525" i="10" s="1"/>
  <c r="H526" i="10" s="1"/>
  <c r="H527" i="10" s="1"/>
  <c r="H528" i="10" s="1"/>
  <c r="H529" i="10" s="1"/>
  <c r="H530" i="10" s="1"/>
  <c r="H531" i="10" s="1"/>
  <c r="H532" i="10" s="1"/>
  <c r="H533" i="10" s="1"/>
  <c r="H534" i="10" s="1"/>
  <c r="H535" i="10" s="1"/>
  <c r="H536" i="10" s="1"/>
  <c r="H537" i="10" s="1"/>
  <c r="H538" i="10" s="1"/>
  <c r="H539" i="10" s="1"/>
  <c r="H540" i="10" s="1"/>
  <c r="H541" i="10" s="1"/>
  <c r="H542" i="10" s="1"/>
  <c r="H543" i="10" s="1"/>
  <c r="H544" i="10" s="1"/>
  <c r="H545" i="10" s="1"/>
  <c r="H546" i="10" s="1"/>
  <c r="H547" i="10" s="1"/>
  <c r="H548" i="10" s="1"/>
  <c r="H549" i="10" s="1"/>
  <c r="H550" i="10" s="1"/>
  <c r="H551" i="10" s="1"/>
  <c r="H552" i="10" s="1"/>
  <c r="H553" i="10" s="1"/>
  <c r="H554" i="10" s="1"/>
  <c r="H555" i="10" s="1"/>
  <c r="H556" i="10" s="1"/>
  <c r="H557" i="10" s="1"/>
  <c r="H558" i="10" s="1"/>
  <c r="H559" i="10" s="1"/>
  <c r="H560" i="10" s="1"/>
  <c r="H561" i="10" s="1"/>
  <c r="H562" i="10" s="1"/>
  <c r="H563" i="10" s="1"/>
  <c r="H564" i="10" s="1"/>
  <c r="H565" i="10" s="1"/>
  <c r="H566" i="10" s="1"/>
  <c r="H567" i="10" s="1"/>
  <c r="H568" i="10" s="1"/>
  <c r="H569" i="10" s="1"/>
  <c r="H570" i="10" s="1"/>
  <c r="H571" i="10" s="1"/>
  <c r="H572" i="10" s="1"/>
  <c r="H573" i="10" s="1"/>
  <c r="H574" i="10" s="1"/>
  <c r="H575" i="10" s="1"/>
  <c r="H576" i="10" s="1"/>
  <c r="H577" i="10" s="1"/>
  <c r="H578" i="10" s="1"/>
  <c r="H579" i="10" s="1"/>
  <c r="H580" i="10" s="1"/>
  <c r="H581" i="10" s="1"/>
  <c r="H582" i="10" s="1"/>
  <c r="H583" i="10" s="1"/>
  <c r="H584" i="10" s="1"/>
  <c r="H585" i="10" s="1"/>
  <c r="H586" i="10" s="1"/>
  <c r="H587" i="10" s="1"/>
  <c r="H588" i="10" s="1"/>
  <c r="H589" i="10" s="1"/>
  <c r="H590" i="10" s="1"/>
  <c r="H591" i="10" s="1"/>
  <c r="H592" i="10" s="1"/>
  <c r="H593" i="10" s="1"/>
  <c r="H594" i="10" s="1"/>
  <c r="H595" i="10" s="1"/>
  <c r="H596" i="10" s="1"/>
  <c r="H597" i="10" s="1"/>
  <c r="H598" i="10" s="1"/>
  <c r="H599" i="10" s="1"/>
  <c r="H600" i="10" s="1"/>
  <c r="H601" i="10" s="1"/>
  <c r="H602" i="10" s="1"/>
  <c r="H603" i="10" s="1"/>
  <c r="H604" i="10" s="1"/>
  <c r="H605" i="10" s="1"/>
  <c r="H606" i="10" s="1"/>
  <c r="H607" i="10" s="1"/>
  <c r="H608" i="10" s="1"/>
  <c r="H609" i="10" s="1"/>
  <c r="H610" i="10" s="1"/>
  <c r="H611" i="10" s="1"/>
  <c r="H612" i="10" s="1"/>
  <c r="H613" i="10" s="1"/>
  <c r="H614" i="10" s="1"/>
  <c r="H615" i="10" s="1"/>
  <c r="H616" i="10" s="1"/>
  <c r="H617" i="10" s="1"/>
  <c r="H618" i="10" s="1"/>
  <c r="H619" i="10" s="1"/>
  <c r="H620" i="10" s="1"/>
  <c r="H621" i="10" s="1"/>
  <c r="H622" i="10" s="1"/>
  <c r="H623" i="10" s="1"/>
  <c r="H624" i="10" s="1"/>
  <c r="H625" i="10" s="1"/>
  <c r="H626" i="10" s="1"/>
  <c r="H627" i="10" s="1"/>
  <c r="H628" i="10" s="1"/>
  <c r="H629" i="10" s="1"/>
  <c r="H630" i="10" s="1"/>
  <c r="H631" i="10" s="1"/>
  <c r="H632" i="10" s="1"/>
  <c r="H633" i="10" s="1"/>
  <c r="H634" i="10" s="1"/>
  <c r="H635" i="10" s="1"/>
  <c r="H636" i="10" s="1"/>
  <c r="H637" i="10" s="1"/>
  <c r="H638" i="10" s="1"/>
  <c r="H639" i="10" s="1"/>
  <c r="H640" i="10" s="1"/>
  <c r="H641" i="10" s="1"/>
  <c r="H642" i="10" s="1"/>
  <c r="H643" i="10" s="1"/>
  <c r="H644" i="10" s="1"/>
  <c r="H645" i="10" s="1"/>
  <c r="H646" i="10" s="1"/>
  <c r="H647" i="10" s="1"/>
  <c r="H648" i="10" s="1"/>
  <c r="H649" i="10" s="1"/>
  <c r="H650" i="10" s="1"/>
  <c r="H651" i="10" s="1"/>
  <c r="H652" i="10" s="1"/>
  <c r="H653" i="10" s="1"/>
  <c r="H654" i="10" s="1"/>
  <c r="H655" i="10" s="1"/>
  <c r="H656" i="10" s="1"/>
  <c r="H657" i="10" s="1"/>
  <c r="H658" i="10" s="1"/>
  <c r="H659" i="10" s="1"/>
  <c r="H660" i="10" s="1"/>
  <c r="H661" i="10" s="1"/>
  <c r="H662" i="10" s="1"/>
  <c r="H663" i="10" s="1"/>
  <c r="H664" i="10" s="1"/>
  <c r="H665" i="10" s="1"/>
  <c r="H666" i="10" s="1"/>
  <c r="H667" i="10" s="1"/>
  <c r="H668" i="10" s="1"/>
  <c r="H671" i="10" s="1"/>
  <c r="H672" i="10" s="1"/>
  <c r="H673" i="10" s="1"/>
  <c r="H674" i="10" s="1"/>
  <c r="H675" i="10" s="1"/>
  <c r="H676" i="10" s="1"/>
  <c r="H677" i="10" s="1"/>
  <c r="H678" i="10" s="1"/>
  <c r="H679" i="10" s="1"/>
  <c r="H680" i="10" s="1"/>
  <c r="H681" i="10" s="1"/>
  <c r="H682" i="10" s="1"/>
  <c r="H683" i="10" s="1"/>
  <c r="H684" i="10" s="1"/>
  <c r="H685" i="10" s="1"/>
  <c r="H686" i="10" s="1"/>
  <c r="H687" i="10" s="1"/>
  <c r="H688" i="10" s="1"/>
  <c r="H689" i="10" s="1"/>
  <c r="H690" i="10" s="1"/>
  <c r="H691" i="10" s="1"/>
  <c r="H692" i="10" s="1"/>
  <c r="H693" i="10" s="1"/>
  <c r="H694" i="10" s="1"/>
  <c r="H695" i="10" s="1"/>
  <c r="H696" i="10" s="1"/>
  <c r="H697" i="10" s="1"/>
  <c r="H698" i="10" s="1"/>
  <c r="H699" i="10" s="1"/>
  <c r="H700" i="10" s="1"/>
  <c r="H701" i="10" s="1"/>
  <c r="H702" i="10" s="1"/>
  <c r="H703" i="10" s="1"/>
  <c r="H704" i="10" s="1"/>
  <c r="H705" i="10" s="1"/>
  <c r="H706" i="10" s="1"/>
  <c r="H707" i="10" s="1"/>
  <c r="H708" i="10" s="1"/>
  <c r="H709" i="10" s="1"/>
  <c r="H710" i="10" s="1"/>
  <c r="H711" i="10" s="1"/>
  <c r="H712" i="10" s="1"/>
  <c r="H713" i="10" s="1"/>
  <c r="H714" i="10" s="1"/>
  <c r="H715" i="10" s="1"/>
  <c r="H716" i="10" s="1"/>
  <c r="H717" i="10" s="1"/>
  <c r="H718" i="10" s="1"/>
  <c r="H719" i="10" s="1"/>
  <c r="H720" i="10" s="1"/>
  <c r="H721" i="10" s="1"/>
  <c r="H722" i="10" s="1"/>
  <c r="H723" i="10" s="1"/>
  <c r="H724" i="10" s="1"/>
  <c r="H725" i="10" s="1"/>
  <c r="H726" i="10" s="1"/>
  <c r="H727" i="10" s="1"/>
  <c r="H728" i="10" s="1"/>
  <c r="H729" i="10" s="1"/>
  <c r="H730" i="10" s="1"/>
  <c r="H731" i="10" s="1"/>
  <c r="H732" i="10" s="1"/>
  <c r="H733" i="10" s="1"/>
  <c r="H734" i="10" s="1"/>
  <c r="H735" i="10" s="1"/>
  <c r="H736" i="10" s="1"/>
  <c r="H737" i="10" s="1"/>
  <c r="H738" i="10" s="1"/>
  <c r="H739" i="10" s="1"/>
  <c r="H740" i="10" s="1"/>
  <c r="H741" i="10" s="1"/>
  <c r="H742" i="10" s="1"/>
  <c r="H743" i="10" s="1"/>
  <c r="H744" i="10" s="1"/>
  <c r="H745" i="10" s="1"/>
  <c r="H746" i="10" s="1"/>
  <c r="H747" i="10" s="1"/>
  <c r="H748" i="10" s="1"/>
  <c r="H749" i="10" s="1"/>
  <c r="H750" i="10" s="1"/>
  <c r="H751" i="10" s="1"/>
  <c r="H752" i="10" s="1"/>
  <c r="H753" i="10" s="1"/>
  <c r="H754" i="10" s="1"/>
  <c r="H755" i="10" s="1"/>
  <c r="H756" i="10" s="1"/>
  <c r="H757" i="10" s="1"/>
  <c r="H758" i="10" s="1"/>
  <c r="H759" i="10" s="1"/>
  <c r="H760" i="10" s="1"/>
  <c r="H761" i="10" s="1"/>
  <c r="H762" i="10" s="1"/>
  <c r="H763" i="10" s="1"/>
  <c r="H764" i="10" s="1"/>
  <c r="H765" i="10" s="1"/>
  <c r="H766" i="10" s="1"/>
  <c r="H767" i="10" s="1"/>
  <c r="H768" i="10" s="1"/>
  <c r="H769" i="10" s="1"/>
  <c r="H770" i="10" s="1"/>
  <c r="H771" i="10" s="1"/>
  <c r="H772" i="10" s="1"/>
  <c r="H773" i="10" s="1"/>
  <c r="H774" i="10" s="1"/>
  <c r="H775" i="10" s="1"/>
  <c r="H776" i="10" s="1"/>
  <c r="H777" i="10" s="1"/>
  <c r="H778" i="10" s="1"/>
  <c r="H779" i="10" s="1"/>
  <c r="H780" i="10" s="1"/>
  <c r="H781" i="10" s="1"/>
  <c r="H782" i="10" s="1"/>
  <c r="H783" i="10" s="1"/>
  <c r="H784" i="10" s="1"/>
  <c r="H785" i="10" s="1"/>
  <c r="H786" i="10" s="1"/>
  <c r="H787" i="10" s="1"/>
  <c r="H788" i="10" s="1"/>
  <c r="H789" i="10" s="1"/>
  <c r="H790" i="10" s="1"/>
  <c r="H791" i="10" s="1"/>
  <c r="H792" i="10" s="1"/>
  <c r="H793" i="10" s="1"/>
  <c r="H794" i="10" s="1"/>
  <c r="H795" i="10" s="1"/>
  <c r="H796" i="10" s="1"/>
  <c r="H797" i="10" s="1"/>
  <c r="H798" i="10" s="1"/>
  <c r="H799" i="10" s="1"/>
  <c r="H800" i="10" s="1"/>
  <c r="H801" i="10" s="1"/>
  <c r="H802" i="10" s="1"/>
  <c r="H803" i="10" s="1"/>
  <c r="H804" i="10" s="1"/>
  <c r="H805" i="10" s="1"/>
  <c r="H806" i="10" s="1"/>
  <c r="H807" i="10" s="1"/>
  <c r="H808" i="10" s="1"/>
  <c r="H809" i="10" s="1"/>
  <c r="H810" i="10" s="1"/>
  <c r="H811" i="10" s="1"/>
  <c r="H812" i="10" s="1"/>
  <c r="H813" i="10" s="1"/>
  <c r="H814" i="10" s="1"/>
  <c r="H815" i="10" s="1"/>
  <c r="H816" i="10" s="1"/>
  <c r="H817" i="10" s="1"/>
  <c r="H818" i="10" s="1"/>
  <c r="H819" i="10" s="1"/>
  <c r="H820" i="10" s="1"/>
  <c r="H821" i="10" s="1"/>
  <c r="H822" i="10" s="1"/>
  <c r="H823" i="10" s="1"/>
  <c r="H824" i="10" s="1"/>
  <c r="H825" i="10" s="1"/>
  <c r="H826" i="10" s="1"/>
  <c r="H827" i="10" s="1"/>
  <c r="H828" i="10" s="1"/>
  <c r="H829" i="10" s="1"/>
  <c r="H830" i="10" s="1"/>
  <c r="H831" i="10" s="1"/>
  <c r="H832" i="10" s="1"/>
  <c r="H833" i="10" s="1"/>
  <c r="H834" i="10" s="1"/>
  <c r="H835" i="10" s="1"/>
  <c r="H836" i="10" s="1"/>
  <c r="H837" i="10" s="1"/>
  <c r="H838" i="10" s="1"/>
  <c r="H839" i="10" s="1"/>
  <c r="H840" i="10" s="1"/>
  <c r="H841" i="10" s="1"/>
  <c r="H842" i="10" s="1"/>
  <c r="H843" i="10" s="1"/>
  <c r="H844" i="10" s="1"/>
  <c r="H845" i="10" s="1"/>
  <c r="H846" i="10" s="1"/>
  <c r="H847" i="10" s="1"/>
  <c r="H848" i="10" s="1"/>
  <c r="H849" i="10" s="1"/>
  <c r="H850" i="10" s="1"/>
  <c r="H851" i="10" s="1"/>
  <c r="H852" i="10" s="1"/>
  <c r="H853" i="10" s="1"/>
  <c r="H854" i="10" s="1"/>
  <c r="H855" i="10" s="1"/>
  <c r="H856" i="10" s="1"/>
  <c r="H857" i="10" s="1"/>
  <c r="H858" i="10" s="1"/>
  <c r="H859" i="10" s="1"/>
  <c r="H860" i="10" s="1"/>
  <c r="H861" i="10" s="1"/>
  <c r="H862" i="10" s="1"/>
  <c r="H863" i="10" s="1"/>
  <c r="H864" i="10" s="1"/>
  <c r="H865" i="10" s="1"/>
  <c r="H866" i="10" s="1"/>
  <c r="H867" i="10" s="1"/>
  <c r="H868" i="10" s="1"/>
  <c r="H869" i="10" s="1"/>
  <c r="H870" i="10" s="1"/>
  <c r="H871" i="10" s="1"/>
  <c r="H872" i="10" s="1"/>
  <c r="H873" i="10" s="1"/>
  <c r="H874" i="10" s="1"/>
  <c r="H875" i="10" s="1"/>
  <c r="H876" i="10" s="1"/>
  <c r="H877" i="10" s="1"/>
  <c r="H878" i="10" s="1"/>
  <c r="H879" i="10" s="1"/>
  <c r="H880" i="10" s="1"/>
  <c r="H881" i="10" s="1"/>
  <c r="H882" i="10" s="1"/>
  <c r="H883" i="10" s="1"/>
  <c r="H884" i="10" s="1"/>
  <c r="H885" i="10" s="1"/>
  <c r="H886" i="10" s="1"/>
  <c r="H887" i="10" s="1"/>
  <c r="H888" i="10" s="1"/>
  <c r="H889" i="10" s="1"/>
  <c r="H890" i="10" s="1"/>
  <c r="H891" i="10" s="1"/>
  <c r="H892" i="10" s="1"/>
  <c r="H893" i="10" s="1"/>
  <c r="H894" i="10" s="1"/>
  <c r="H895" i="10" s="1"/>
  <c r="H896" i="10" s="1"/>
  <c r="H897" i="10" s="1"/>
  <c r="H898" i="10" s="1"/>
  <c r="H899" i="10" s="1"/>
  <c r="H900" i="10" s="1"/>
  <c r="H901" i="10" s="1"/>
  <c r="H902" i="10" s="1"/>
  <c r="H903" i="10" s="1"/>
  <c r="H904" i="10" s="1"/>
  <c r="H905" i="10" s="1"/>
  <c r="H906" i="10" s="1"/>
  <c r="H907" i="10" s="1"/>
  <c r="H908" i="10" s="1"/>
  <c r="H909" i="10" s="1"/>
  <c r="H910" i="10" s="1"/>
  <c r="H911" i="10" s="1"/>
  <c r="H912" i="10" s="1"/>
  <c r="H913" i="10" s="1"/>
  <c r="H914" i="10" s="1"/>
  <c r="H915" i="10" s="1"/>
  <c r="H916" i="10" s="1"/>
  <c r="H917" i="10" s="1"/>
  <c r="H918" i="10" s="1"/>
  <c r="H919" i="10" s="1"/>
  <c r="H920" i="10" s="1"/>
  <c r="H921" i="10" s="1"/>
  <c r="H922" i="10" s="1"/>
  <c r="H923" i="10" s="1"/>
  <c r="H924" i="10" s="1"/>
  <c r="H925" i="10" s="1"/>
  <c r="H926" i="10" s="1"/>
  <c r="H927" i="10" s="1"/>
  <c r="H928" i="10" s="1"/>
  <c r="H929" i="10" s="1"/>
  <c r="H930" i="10" s="1"/>
  <c r="H931" i="10" s="1"/>
  <c r="H932" i="10" s="1"/>
  <c r="H933" i="10" s="1"/>
  <c r="H934" i="10" s="1"/>
  <c r="H935" i="10" s="1"/>
  <c r="H936" i="10" s="1"/>
  <c r="H937" i="10" s="1"/>
  <c r="H938" i="10" s="1"/>
  <c r="H939" i="10" s="1"/>
  <c r="H940" i="10" s="1"/>
  <c r="H941" i="10" s="1"/>
  <c r="H942" i="10" s="1"/>
  <c r="H943" i="10" s="1"/>
  <c r="H944" i="10" s="1"/>
  <c r="H945" i="10" s="1"/>
  <c r="H946" i="10" s="1"/>
  <c r="H947" i="10" s="1"/>
  <c r="H948" i="10" s="1"/>
  <c r="H949" i="10" s="1"/>
  <c r="H950" i="10" s="1"/>
  <c r="H951" i="10" s="1"/>
  <c r="H952" i="10" s="1"/>
  <c r="H953" i="10" s="1"/>
  <c r="H954" i="10" s="1"/>
  <c r="H955" i="10" s="1"/>
  <c r="H956" i="10" s="1"/>
  <c r="H957" i="10" s="1"/>
  <c r="H958" i="10" s="1"/>
  <c r="H959" i="10" s="1"/>
  <c r="H960" i="10" s="1"/>
  <c r="H961" i="10" s="1"/>
  <c r="H962" i="10" s="1"/>
  <c r="H963" i="10" s="1"/>
  <c r="H964" i="10" s="1"/>
  <c r="H965" i="10" s="1"/>
  <c r="H966" i="10" s="1"/>
  <c r="H967" i="10" s="1"/>
  <c r="H968" i="10" s="1"/>
  <c r="H969" i="10" s="1"/>
  <c r="H970" i="10" s="1"/>
  <c r="H971" i="10" s="1"/>
  <c r="H972" i="10" s="1"/>
  <c r="H973" i="10" s="1"/>
  <c r="H974" i="10" s="1"/>
  <c r="H975" i="10" s="1"/>
  <c r="H976" i="10" s="1"/>
  <c r="H977" i="10" s="1"/>
  <c r="H978" i="10" s="1"/>
  <c r="H979" i="10" s="1"/>
  <c r="H980" i="10" s="1"/>
  <c r="H981" i="10" s="1"/>
  <c r="H982" i="10" s="1"/>
  <c r="H983" i="10" s="1"/>
  <c r="H984" i="10" s="1"/>
  <c r="H985" i="10" s="1"/>
  <c r="H986" i="10" s="1"/>
  <c r="H987" i="10" s="1"/>
  <c r="H988" i="10" s="1"/>
  <c r="H989" i="10" s="1"/>
  <c r="H990" i="10" s="1"/>
  <c r="H991" i="10" s="1"/>
  <c r="H992" i="10" s="1"/>
  <c r="H993" i="10" s="1"/>
  <c r="H994" i="10" s="1"/>
  <c r="H995" i="10" s="1"/>
  <c r="H996" i="10" s="1"/>
  <c r="H997" i="10" s="1"/>
  <c r="H998" i="10" s="1"/>
  <c r="H999" i="10" s="1"/>
  <c r="H1000" i="10" s="1"/>
  <c r="H1001" i="10" s="1"/>
  <c r="H1002" i="10" s="1"/>
  <c r="H1003" i="10" s="1"/>
  <c r="H1004" i="10" s="1"/>
  <c r="H1005" i="10" s="1"/>
  <c r="H1006" i="10" s="1"/>
  <c r="H1007" i="10" s="1"/>
  <c r="H1008" i="10" s="1"/>
  <c r="H1009" i="10" s="1"/>
  <c r="H1010" i="10" s="1"/>
  <c r="H1011" i="10" s="1"/>
  <c r="H1012" i="10" s="1"/>
  <c r="H1013" i="10" s="1"/>
  <c r="H1014" i="10" s="1"/>
  <c r="H1015" i="10" s="1"/>
  <c r="H1016" i="10" s="1"/>
  <c r="H1017" i="10" s="1"/>
  <c r="H1018" i="10" s="1"/>
  <c r="H1019" i="10" s="1"/>
  <c r="H1020" i="10" s="1"/>
  <c r="H1021" i="10" s="1"/>
  <c r="H1022" i="10" s="1"/>
  <c r="H1023" i="10" s="1"/>
  <c r="H1024" i="10" s="1"/>
  <c r="H1025" i="10" s="1"/>
  <c r="H1026" i="10" s="1"/>
  <c r="H1027" i="10" s="1"/>
  <c r="H1028" i="10" s="1"/>
  <c r="H1029" i="10" s="1"/>
  <c r="H1030" i="10" s="1"/>
  <c r="H1031" i="10" s="1"/>
  <c r="H1032" i="10" s="1"/>
  <c r="H1033" i="10" s="1"/>
  <c r="H1034" i="10" s="1"/>
  <c r="H1035" i="10" s="1"/>
  <c r="H1036" i="10" s="1"/>
  <c r="H1037" i="10" s="1"/>
  <c r="H1038" i="10" s="1"/>
  <c r="H1039" i="10" s="1"/>
  <c r="H1040" i="10" s="1"/>
  <c r="H1041" i="10" s="1"/>
  <c r="H1042" i="10" s="1"/>
  <c r="H1043" i="10" s="1"/>
  <c r="H1044" i="10" s="1"/>
  <c r="H1045" i="10" s="1"/>
  <c r="H1046" i="10" s="1"/>
  <c r="H1047" i="10" s="1"/>
  <c r="H1048" i="10" s="1"/>
  <c r="H1049" i="10" s="1"/>
  <c r="H1050" i="10" s="1"/>
  <c r="H1051" i="10" s="1"/>
  <c r="H1052" i="10" s="1"/>
  <c r="H1053" i="10" s="1"/>
  <c r="H1054" i="10" s="1"/>
  <c r="H1055" i="10" s="1"/>
  <c r="H1056" i="10" s="1"/>
  <c r="H1057" i="10" s="1"/>
  <c r="H1058" i="10" s="1"/>
  <c r="H1059" i="10" s="1"/>
  <c r="H1060" i="10" s="1"/>
  <c r="H1061" i="10" s="1"/>
  <c r="H1062" i="10" s="1"/>
  <c r="H1063" i="10" s="1"/>
  <c r="H1064" i="10" s="1"/>
  <c r="H1065" i="10" s="1"/>
  <c r="H1066" i="10" s="1"/>
  <c r="H1067" i="10" s="1"/>
  <c r="H1068" i="10" s="1"/>
  <c r="H1069" i="10" s="1"/>
  <c r="H1070" i="10" s="1"/>
  <c r="H1071" i="10" s="1"/>
  <c r="H1072" i="10" s="1"/>
  <c r="H1073" i="10" s="1"/>
  <c r="H1074" i="10" s="1"/>
  <c r="H1075" i="10" s="1"/>
  <c r="H1076" i="10" s="1"/>
  <c r="H1077" i="10" s="1"/>
  <c r="H1078" i="10" s="1"/>
  <c r="H1079" i="10" s="1"/>
  <c r="H1080" i="10" s="1"/>
  <c r="H1081" i="10" s="1"/>
  <c r="H1082" i="10" s="1"/>
  <c r="H1083" i="10" s="1"/>
  <c r="H1084" i="10" s="1"/>
  <c r="H1085" i="10" s="1"/>
  <c r="H1086" i="10" s="1"/>
  <c r="H1087" i="10" s="1"/>
  <c r="H1088" i="10" s="1"/>
  <c r="H1089" i="10" s="1"/>
  <c r="H1090" i="10" s="1"/>
  <c r="H1091" i="10" s="1"/>
  <c r="H1092" i="10" s="1"/>
  <c r="H1093" i="10" s="1"/>
  <c r="H1094" i="10" s="1"/>
  <c r="H1095" i="10" s="1"/>
  <c r="H1096" i="10" s="1"/>
  <c r="H1097" i="10" s="1"/>
  <c r="H1098" i="10" s="1"/>
  <c r="H1099" i="10" s="1"/>
  <c r="H1100" i="10" s="1"/>
  <c r="H1101" i="10" s="1"/>
  <c r="H1102" i="10" s="1"/>
  <c r="H1103" i="10" s="1"/>
  <c r="H1104" i="10" s="1"/>
  <c r="H1105" i="10" s="1"/>
  <c r="H1106" i="10" s="1"/>
  <c r="H1107" i="10" s="1"/>
  <c r="H1108" i="10" s="1"/>
  <c r="H1109" i="10" s="1"/>
  <c r="H1110" i="10" s="1"/>
  <c r="H1111" i="10" s="1"/>
  <c r="H1112" i="10" s="1"/>
  <c r="H1113" i="10" s="1"/>
  <c r="H1114" i="10" s="1"/>
  <c r="H1115" i="10" s="1"/>
  <c r="H1116" i="10" s="1"/>
  <c r="H1117" i="10" s="1"/>
  <c r="H1118" i="10" s="1"/>
  <c r="H1119" i="10" s="1"/>
  <c r="H1120" i="10" s="1"/>
  <c r="H1121" i="10" s="1"/>
  <c r="H1122" i="10" s="1"/>
  <c r="H1123" i="10" s="1"/>
  <c r="H1124" i="10" s="1"/>
  <c r="H1125" i="10" s="1"/>
  <c r="H1126" i="10" s="1"/>
  <c r="H1127" i="10" s="1"/>
  <c r="H1128" i="10" s="1"/>
  <c r="H1129" i="10" s="1"/>
  <c r="H1130" i="10" s="1"/>
  <c r="H1131" i="10" s="1"/>
  <c r="H1132" i="10" s="1"/>
  <c r="H1133" i="10" s="1"/>
  <c r="H1134" i="10" s="1"/>
  <c r="H1135" i="10" s="1"/>
  <c r="H1136" i="10" s="1"/>
  <c r="H1137" i="10" s="1"/>
  <c r="H1138" i="10" s="1"/>
  <c r="H1139" i="10" s="1"/>
  <c r="H1140" i="10" s="1"/>
  <c r="H1141" i="10" s="1"/>
  <c r="H1142" i="10" s="1"/>
  <c r="H1143" i="10" s="1"/>
  <c r="H1144" i="10" s="1"/>
  <c r="H1145" i="10" s="1"/>
  <c r="H1146" i="10" s="1"/>
  <c r="H1147" i="10" s="1"/>
  <c r="H1148" i="10" s="1"/>
  <c r="H1149" i="10" s="1"/>
  <c r="H1150" i="10" s="1"/>
  <c r="H1151" i="10" s="1"/>
  <c r="H1152" i="10" s="1"/>
  <c r="H1153" i="10" s="1"/>
  <c r="H1154" i="10" s="1"/>
  <c r="H1155" i="10" s="1"/>
  <c r="H1156" i="10" s="1"/>
  <c r="H1157" i="10" s="1"/>
  <c r="H1158" i="10" s="1"/>
  <c r="H1159" i="10" s="1"/>
  <c r="I502" i="10"/>
  <c r="I503" i="10" s="1"/>
  <c r="I504" i="10" s="1"/>
  <c r="I505" i="10" s="1"/>
  <c r="I506" i="10" s="1"/>
  <c r="I507" i="10" s="1"/>
  <c r="I508" i="10" s="1"/>
  <c r="I509" i="10" s="1"/>
  <c r="I510" i="10" s="1"/>
  <c r="I511" i="10" s="1"/>
  <c r="I512" i="10" s="1"/>
  <c r="I513" i="10" s="1"/>
  <c r="I514" i="10" s="1"/>
  <c r="I515" i="10" s="1"/>
  <c r="I516" i="10" s="1"/>
  <c r="I517" i="10" s="1"/>
  <c r="I518" i="10" s="1"/>
  <c r="I519" i="10" s="1"/>
  <c r="I520" i="10" s="1"/>
  <c r="I521" i="10" s="1"/>
  <c r="I522" i="10" s="1"/>
  <c r="I523" i="10" s="1"/>
  <c r="I524" i="10" s="1"/>
  <c r="I525" i="10" s="1"/>
  <c r="I526" i="10" s="1"/>
  <c r="I527" i="10" s="1"/>
  <c r="I528" i="10" s="1"/>
  <c r="I529" i="10" s="1"/>
  <c r="I530" i="10" s="1"/>
  <c r="I531" i="10" s="1"/>
  <c r="I532" i="10" s="1"/>
  <c r="I533" i="10" s="1"/>
  <c r="I534" i="10" s="1"/>
  <c r="I535" i="10" s="1"/>
  <c r="I536" i="10" s="1"/>
  <c r="I537" i="10" s="1"/>
  <c r="I538" i="10" s="1"/>
  <c r="I539" i="10" s="1"/>
  <c r="I540" i="10" s="1"/>
  <c r="I541" i="10" s="1"/>
  <c r="I542" i="10" s="1"/>
  <c r="I543" i="10" s="1"/>
  <c r="I544" i="10" s="1"/>
  <c r="I545" i="10" s="1"/>
  <c r="I546" i="10" s="1"/>
  <c r="I547" i="10" s="1"/>
  <c r="I548" i="10" s="1"/>
  <c r="I549" i="10" s="1"/>
  <c r="I550" i="10" s="1"/>
  <c r="I551" i="10" s="1"/>
  <c r="I552" i="10" s="1"/>
  <c r="I553" i="10" s="1"/>
  <c r="I554" i="10" s="1"/>
  <c r="I555" i="10" s="1"/>
  <c r="I556" i="10" s="1"/>
  <c r="I557" i="10" s="1"/>
  <c r="I558" i="10" s="1"/>
  <c r="I559" i="10" s="1"/>
  <c r="I560" i="10" s="1"/>
  <c r="I561" i="10" s="1"/>
  <c r="I562" i="10" s="1"/>
  <c r="I563" i="10" s="1"/>
  <c r="I564" i="10" s="1"/>
  <c r="I565" i="10" s="1"/>
  <c r="I566" i="10" s="1"/>
  <c r="I567" i="10" s="1"/>
  <c r="I568" i="10" s="1"/>
  <c r="I569" i="10" s="1"/>
  <c r="I570" i="10" s="1"/>
  <c r="I571" i="10" s="1"/>
  <c r="I572" i="10" s="1"/>
  <c r="I573" i="10" s="1"/>
  <c r="I574" i="10" s="1"/>
  <c r="I575" i="10" s="1"/>
  <c r="I576" i="10" s="1"/>
  <c r="I577" i="10" s="1"/>
  <c r="I578" i="10" s="1"/>
  <c r="I579" i="10" s="1"/>
  <c r="I580" i="10" s="1"/>
  <c r="I581" i="10" s="1"/>
  <c r="I582" i="10" s="1"/>
  <c r="I583" i="10" s="1"/>
  <c r="I584" i="10" s="1"/>
  <c r="I585" i="10" s="1"/>
  <c r="I586" i="10" s="1"/>
  <c r="I587" i="10" s="1"/>
  <c r="I588" i="10" s="1"/>
  <c r="I589" i="10" s="1"/>
  <c r="I590" i="10" s="1"/>
  <c r="I591" i="10" s="1"/>
  <c r="I592" i="10" s="1"/>
  <c r="I593" i="10" s="1"/>
  <c r="I594" i="10" s="1"/>
  <c r="I595" i="10" s="1"/>
  <c r="I596" i="10" s="1"/>
  <c r="I597" i="10" s="1"/>
  <c r="I598" i="10" s="1"/>
  <c r="I599" i="10" s="1"/>
  <c r="I600" i="10" s="1"/>
  <c r="I601" i="10" s="1"/>
  <c r="I602" i="10" s="1"/>
  <c r="I603" i="10" s="1"/>
  <c r="I604" i="10" s="1"/>
  <c r="I605" i="10" s="1"/>
  <c r="I606" i="10" s="1"/>
  <c r="I607" i="10" s="1"/>
  <c r="I608" i="10" s="1"/>
  <c r="I609" i="10" s="1"/>
  <c r="I610" i="10" s="1"/>
  <c r="I611" i="10" s="1"/>
  <c r="I612" i="10" s="1"/>
  <c r="I613" i="10" s="1"/>
  <c r="I614" i="10" s="1"/>
  <c r="I615" i="10" s="1"/>
  <c r="I616" i="10" s="1"/>
  <c r="I617" i="10" s="1"/>
  <c r="I618" i="10" s="1"/>
  <c r="I619" i="10" s="1"/>
  <c r="I620" i="10" s="1"/>
  <c r="I621" i="10" s="1"/>
  <c r="I622" i="10" s="1"/>
  <c r="I623" i="10" s="1"/>
  <c r="I624" i="10" s="1"/>
  <c r="I625" i="10" s="1"/>
  <c r="I626" i="10" s="1"/>
  <c r="I627" i="10" s="1"/>
  <c r="I628" i="10" s="1"/>
  <c r="I629" i="10" s="1"/>
  <c r="I630" i="10" s="1"/>
  <c r="I631" i="10" s="1"/>
  <c r="I632" i="10" s="1"/>
  <c r="I633" i="10" s="1"/>
  <c r="I634" i="10" s="1"/>
  <c r="I635" i="10" s="1"/>
  <c r="I636" i="10" s="1"/>
  <c r="I637" i="10" s="1"/>
  <c r="I638" i="10" s="1"/>
  <c r="I639" i="10" s="1"/>
  <c r="I640" i="10" s="1"/>
  <c r="I641" i="10" s="1"/>
  <c r="I642" i="10" s="1"/>
  <c r="I643" i="10" s="1"/>
  <c r="I644" i="10" s="1"/>
  <c r="I645" i="10" s="1"/>
  <c r="I646" i="10" s="1"/>
  <c r="I647" i="10" s="1"/>
  <c r="I648" i="10" s="1"/>
  <c r="I649" i="10" s="1"/>
  <c r="I650" i="10" s="1"/>
  <c r="I651" i="10" s="1"/>
  <c r="I652" i="10" s="1"/>
  <c r="I653" i="10" s="1"/>
  <c r="I654" i="10" s="1"/>
  <c r="I655" i="10" s="1"/>
  <c r="I656" i="10" s="1"/>
  <c r="I657" i="10" s="1"/>
  <c r="I658" i="10" s="1"/>
  <c r="I659" i="10" s="1"/>
  <c r="I660" i="10" s="1"/>
  <c r="I661" i="10" s="1"/>
  <c r="I662" i="10" s="1"/>
  <c r="I663" i="10" s="1"/>
  <c r="I664" i="10" s="1"/>
  <c r="I665" i="10" s="1"/>
  <c r="I666" i="10" s="1"/>
  <c r="I667" i="10" s="1"/>
  <c r="I668" i="10" s="1"/>
  <c r="I669" i="10" s="1"/>
  <c r="I670" i="10" s="1"/>
  <c r="I671" i="10" s="1"/>
  <c r="I672" i="10" s="1"/>
  <c r="I673" i="10" s="1"/>
  <c r="I674" i="10" s="1"/>
  <c r="I675" i="10" s="1"/>
  <c r="I676" i="10" s="1"/>
  <c r="I677" i="10" s="1"/>
  <c r="I678" i="10" s="1"/>
  <c r="I679" i="10" s="1"/>
  <c r="I680" i="10" s="1"/>
  <c r="I681" i="10" s="1"/>
  <c r="I682" i="10" s="1"/>
  <c r="I683" i="10" s="1"/>
  <c r="I684" i="10" s="1"/>
  <c r="I685" i="10" s="1"/>
  <c r="I686" i="10" s="1"/>
  <c r="I687" i="10" s="1"/>
  <c r="I688" i="10" s="1"/>
  <c r="I689" i="10" s="1"/>
  <c r="I690" i="10" s="1"/>
  <c r="I691" i="10" s="1"/>
  <c r="I692" i="10" s="1"/>
  <c r="I693" i="10" s="1"/>
  <c r="I694" i="10" s="1"/>
  <c r="I695" i="10" s="1"/>
  <c r="I696" i="10" s="1"/>
  <c r="I697" i="10" s="1"/>
  <c r="I698" i="10" s="1"/>
  <c r="I699" i="10" s="1"/>
  <c r="I700" i="10" s="1"/>
  <c r="I701" i="10" s="1"/>
  <c r="I702" i="10" s="1"/>
  <c r="I703" i="10" s="1"/>
  <c r="I704" i="10" s="1"/>
  <c r="I705" i="10" s="1"/>
  <c r="I706" i="10" s="1"/>
  <c r="I707" i="10" s="1"/>
  <c r="I708" i="10" s="1"/>
  <c r="I709" i="10" s="1"/>
  <c r="I710" i="10" s="1"/>
  <c r="I711" i="10" s="1"/>
  <c r="I712" i="10" s="1"/>
  <c r="I713" i="10" s="1"/>
  <c r="I714" i="10" s="1"/>
  <c r="I715" i="10" s="1"/>
  <c r="I716" i="10" s="1"/>
  <c r="I717" i="10" s="1"/>
  <c r="I718" i="10" s="1"/>
  <c r="I719" i="10" s="1"/>
  <c r="I720" i="10" s="1"/>
  <c r="I721" i="10" s="1"/>
  <c r="I722" i="10" s="1"/>
  <c r="I723" i="10" s="1"/>
  <c r="I724" i="10" s="1"/>
  <c r="I725" i="10" s="1"/>
  <c r="I726" i="10" s="1"/>
  <c r="I727" i="10" s="1"/>
  <c r="I728" i="10" s="1"/>
  <c r="I729" i="10" s="1"/>
  <c r="I730" i="10" s="1"/>
  <c r="I731" i="10" s="1"/>
  <c r="I732" i="10" s="1"/>
  <c r="I733" i="10" s="1"/>
  <c r="I734" i="10" s="1"/>
  <c r="I735" i="10" s="1"/>
  <c r="I736" i="10" s="1"/>
  <c r="I737" i="10" s="1"/>
  <c r="I738" i="10" s="1"/>
  <c r="I739" i="10" s="1"/>
  <c r="I740" i="10" s="1"/>
  <c r="I741" i="10" s="1"/>
  <c r="I742" i="10" s="1"/>
  <c r="I743" i="10" s="1"/>
  <c r="I744" i="10" s="1"/>
  <c r="I745" i="10" s="1"/>
  <c r="I746" i="10" s="1"/>
  <c r="I747" i="10" s="1"/>
  <c r="I748" i="10" s="1"/>
  <c r="I749" i="10" s="1"/>
  <c r="I750" i="10" s="1"/>
  <c r="I751" i="10" s="1"/>
  <c r="I752" i="10" s="1"/>
  <c r="I753" i="10" s="1"/>
  <c r="I754" i="10" s="1"/>
  <c r="I755" i="10" s="1"/>
  <c r="I756" i="10" s="1"/>
  <c r="I757" i="10" s="1"/>
  <c r="I758" i="10" s="1"/>
  <c r="I759" i="10" s="1"/>
  <c r="I760" i="10" s="1"/>
  <c r="I761" i="10" s="1"/>
  <c r="I762" i="10" s="1"/>
  <c r="I763" i="10" s="1"/>
  <c r="I764" i="10" s="1"/>
  <c r="I765" i="10" s="1"/>
  <c r="I766" i="10" s="1"/>
  <c r="I767" i="10" s="1"/>
  <c r="I768" i="10" s="1"/>
  <c r="I769" i="10" s="1"/>
  <c r="I770" i="10" s="1"/>
  <c r="I771" i="10" s="1"/>
  <c r="I772" i="10" s="1"/>
  <c r="I773" i="10" s="1"/>
  <c r="I774" i="10" s="1"/>
  <c r="I775" i="10" s="1"/>
  <c r="I776" i="10" s="1"/>
  <c r="I777" i="10" s="1"/>
  <c r="I778" i="10" s="1"/>
  <c r="I779" i="10" s="1"/>
  <c r="I780" i="10" s="1"/>
  <c r="I781" i="10" s="1"/>
  <c r="I782" i="10" s="1"/>
  <c r="I783" i="10" s="1"/>
  <c r="I784" i="10" s="1"/>
  <c r="I785" i="10" s="1"/>
  <c r="I786" i="10" s="1"/>
  <c r="I787" i="10" s="1"/>
  <c r="I788" i="10" s="1"/>
  <c r="I789" i="10" s="1"/>
  <c r="I790" i="10" s="1"/>
  <c r="I791" i="10" s="1"/>
  <c r="I792" i="10" s="1"/>
  <c r="I793" i="10" s="1"/>
  <c r="I794" i="10" s="1"/>
  <c r="I795" i="10" s="1"/>
  <c r="I796" i="10" s="1"/>
  <c r="I797" i="10" s="1"/>
  <c r="I798" i="10" s="1"/>
  <c r="I799" i="10" s="1"/>
  <c r="I800" i="10" s="1"/>
  <c r="I801" i="10" s="1"/>
  <c r="I802" i="10" s="1"/>
  <c r="I803" i="10" s="1"/>
  <c r="I804" i="10" s="1"/>
  <c r="I805" i="10" s="1"/>
  <c r="I806" i="10" s="1"/>
  <c r="I807" i="10" s="1"/>
  <c r="I808" i="10" s="1"/>
  <c r="I809" i="10" s="1"/>
  <c r="I810" i="10" s="1"/>
  <c r="I811" i="10" s="1"/>
  <c r="I812" i="10" s="1"/>
  <c r="I813" i="10" s="1"/>
  <c r="I814" i="10" s="1"/>
  <c r="I815" i="10" s="1"/>
  <c r="I816" i="10" s="1"/>
  <c r="I817" i="10" s="1"/>
  <c r="I818" i="10" s="1"/>
  <c r="I819" i="10" s="1"/>
  <c r="I820" i="10" s="1"/>
  <c r="I821" i="10" s="1"/>
  <c r="I822" i="10" s="1"/>
  <c r="I823" i="10" s="1"/>
  <c r="I824" i="10" s="1"/>
  <c r="I825" i="10" s="1"/>
  <c r="I826" i="10" s="1"/>
  <c r="I827" i="10" s="1"/>
  <c r="I828" i="10" s="1"/>
  <c r="I829" i="10" s="1"/>
  <c r="I830" i="10" s="1"/>
  <c r="I831" i="10" s="1"/>
  <c r="I832" i="10" s="1"/>
  <c r="I833" i="10" s="1"/>
  <c r="I834" i="10" s="1"/>
  <c r="I835" i="10" s="1"/>
  <c r="I836" i="10" s="1"/>
  <c r="I837" i="10" s="1"/>
  <c r="I838" i="10" s="1"/>
  <c r="I839" i="10" s="1"/>
  <c r="I840" i="10" s="1"/>
  <c r="I841" i="10" s="1"/>
  <c r="I842" i="10" s="1"/>
  <c r="I843" i="10" s="1"/>
  <c r="I844" i="10" s="1"/>
  <c r="I845" i="10" s="1"/>
  <c r="I846" i="10" s="1"/>
  <c r="I847" i="10" s="1"/>
  <c r="I848" i="10" s="1"/>
  <c r="I849" i="10" s="1"/>
  <c r="I850" i="10" s="1"/>
  <c r="I851" i="10" s="1"/>
  <c r="I852" i="10" s="1"/>
  <c r="I853" i="10" s="1"/>
  <c r="I854" i="10" s="1"/>
  <c r="I855" i="10" s="1"/>
  <c r="I856" i="10" s="1"/>
  <c r="I857" i="10" s="1"/>
  <c r="I858" i="10" s="1"/>
  <c r="I859" i="10" s="1"/>
  <c r="I860" i="10" s="1"/>
  <c r="I861" i="10" s="1"/>
  <c r="I862" i="10" s="1"/>
  <c r="I863" i="10" s="1"/>
  <c r="I864" i="10" s="1"/>
  <c r="I865" i="10" s="1"/>
  <c r="I866" i="10" s="1"/>
  <c r="I867" i="10" s="1"/>
  <c r="I868" i="10" s="1"/>
  <c r="I869" i="10" s="1"/>
  <c r="I870" i="10" s="1"/>
  <c r="I871" i="10" s="1"/>
  <c r="I872" i="10" s="1"/>
  <c r="I873" i="10" s="1"/>
  <c r="I874" i="10" s="1"/>
  <c r="I875" i="10" s="1"/>
  <c r="I876" i="10" s="1"/>
  <c r="I877" i="10" s="1"/>
  <c r="I878" i="10" s="1"/>
  <c r="I879" i="10" s="1"/>
  <c r="I880" i="10" s="1"/>
  <c r="I881" i="10" s="1"/>
  <c r="I882" i="10" s="1"/>
  <c r="I883" i="10" s="1"/>
  <c r="I884" i="10" s="1"/>
  <c r="I885" i="10" s="1"/>
  <c r="I886" i="10" s="1"/>
  <c r="I887" i="10" s="1"/>
  <c r="I888" i="10" s="1"/>
  <c r="I889" i="10" s="1"/>
  <c r="I890" i="10" s="1"/>
  <c r="I891" i="10" s="1"/>
  <c r="I892" i="10" s="1"/>
  <c r="I893" i="10" s="1"/>
  <c r="I894" i="10" s="1"/>
  <c r="I895" i="10" s="1"/>
  <c r="I896" i="10" s="1"/>
  <c r="I897" i="10" s="1"/>
  <c r="I898" i="10" s="1"/>
  <c r="I899" i="10" s="1"/>
  <c r="I900" i="10" s="1"/>
  <c r="I901" i="10" s="1"/>
  <c r="I902" i="10" s="1"/>
  <c r="I903" i="10" s="1"/>
  <c r="I904" i="10" s="1"/>
  <c r="I905" i="10" s="1"/>
  <c r="I906" i="10" s="1"/>
  <c r="I907" i="10" s="1"/>
  <c r="I908" i="10" s="1"/>
  <c r="I909" i="10" s="1"/>
  <c r="I910" i="10" s="1"/>
  <c r="I911" i="10" s="1"/>
  <c r="I912" i="10" s="1"/>
  <c r="I913" i="10" s="1"/>
  <c r="I914" i="10" s="1"/>
  <c r="I915" i="10" s="1"/>
  <c r="I916" i="10" s="1"/>
  <c r="I917" i="10" s="1"/>
  <c r="I918" i="10" s="1"/>
  <c r="I919" i="10" s="1"/>
  <c r="I920" i="10" s="1"/>
  <c r="I921" i="10" s="1"/>
  <c r="I922" i="10" s="1"/>
  <c r="I923" i="10" s="1"/>
  <c r="I924" i="10" s="1"/>
  <c r="I925" i="10" s="1"/>
  <c r="I926" i="10" s="1"/>
  <c r="I927" i="10" s="1"/>
  <c r="I928" i="10" s="1"/>
  <c r="I929" i="10" s="1"/>
  <c r="I930" i="10" s="1"/>
  <c r="I931" i="10" s="1"/>
  <c r="I932" i="10" s="1"/>
  <c r="I933" i="10" s="1"/>
  <c r="I934" i="10" s="1"/>
  <c r="I935" i="10" s="1"/>
  <c r="I936" i="10" s="1"/>
  <c r="I937" i="10" s="1"/>
  <c r="I938" i="10" s="1"/>
  <c r="I939" i="10" s="1"/>
  <c r="I940" i="10" s="1"/>
  <c r="I941" i="10" s="1"/>
  <c r="I942" i="10" s="1"/>
  <c r="I943" i="10" s="1"/>
  <c r="I944" i="10" s="1"/>
  <c r="I945" i="10" s="1"/>
  <c r="I946" i="10" s="1"/>
  <c r="I947" i="10" s="1"/>
  <c r="I948" i="10" s="1"/>
  <c r="I949" i="10" s="1"/>
  <c r="I950" i="10" s="1"/>
  <c r="I951" i="10" s="1"/>
  <c r="I952" i="10" s="1"/>
  <c r="I953" i="10" s="1"/>
  <c r="I954" i="10" s="1"/>
  <c r="I955" i="10" s="1"/>
  <c r="I956" i="10" s="1"/>
  <c r="I957" i="10" s="1"/>
  <c r="I958" i="10" s="1"/>
  <c r="I959" i="10" s="1"/>
  <c r="I960" i="10" s="1"/>
  <c r="I961" i="10" s="1"/>
  <c r="I962" i="10" s="1"/>
  <c r="I963" i="10" s="1"/>
  <c r="I964" i="10" s="1"/>
  <c r="I965" i="10" s="1"/>
  <c r="I966" i="10" s="1"/>
  <c r="I967" i="10" s="1"/>
  <c r="I968" i="10" s="1"/>
  <c r="I969" i="10" s="1"/>
  <c r="I970" i="10" s="1"/>
  <c r="I971" i="10" s="1"/>
  <c r="I972" i="10" s="1"/>
  <c r="I973" i="10" s="1"/>
  <c r="I974" i="10" s="1"/>
  <c r="I975" i="10" s="1"/>
  <c r="I976" i="10" s="1"/>
  <c r="I977" i="10" s="1"/>
  <c r="I978" i="10" s="1"/>
  <c r="I979" i="10" s="1"/>
  <c r="I980" i="10" s="1"/>
  <c r="I981" i="10" s="1"/>
  <c r="I982" i="10" s="1"/>
  <c r="I983" i="10" s="1"/>
  <c r="I984" i="10" s="1"/>
  <c r="I985" i="10" s="1"/>
  <c r="I986" i="10" s="1"/>
  <c r="I987" i="10" s="1"/>
  <c r="I988" i="10" s="1"/>
  <c r="I989" i="10" s="1"/>
  <c r="I990" i="10" s="1"/>
  <c r="I991" i="10" s="1"/>
  <c r="I992" i="10" s="1"/>
  <c r="I993" i="10" s="1"/>
  <c r="I994" i="10" s="1"/>
  <c r="I995" i="10" s="1"/>
  <c r="I996" i="10" s="1"/>
  <c r="I997" i="10" s="1"/>
  <c r="I998" i="10" s="1"/>
  <c r="I999" i="10" s="1"/>
  <c r="I1000" i="10" s="1"/>
  <c r="I1001" i="10" s="1"/>
  <c r="I1002" i="10" s="1"/>
  <c r="I1003" i="10" s="1"/>
  <c r="I1004" i="10" s="1"/>
  <c r="I1005" i="10" s="1"/>
  <c r="I1006" i="10" s="1"/>
  <c r="I1007" i="10" s="1"/>
  <c r="I1008" i="10" s="1"/>
  <c r="I1009" i="10" s="1"/>
  <c r="I1010" i="10" s="1"/>
  <c r="I1011" i="10" s="1"/>
  <c r="I1012" i="10" s="1"/>
  <c r="I1013" i="10" s="1"/>
  <c r="I1014" i="10" s="1"/>
  <c r="I1015" i="10" s="1"/>
  <c r="I1016" i="10" s="1"/>
  <c r="I1017" i="10" s="1"/>
  <c r="I1018" i="10" s="1"/>
  <c r="I1019" i="10" s="1"/>
  <c r="I1020" i="10" s="1"/>
  <c r="I1021" i="10" s="1"/>
  <c r="I1022" i="10" s="1"/>
  <c r="I1023" i="10" s="1"/>
  <c r="I1024" i="10" s="1"/>
  <c r="I1025" i="10" s="1"/>
  <c r="I1026" i="10" s="1"/>
  <c r="I1027" i="10" s="1"/>
  <c r="I1028" i="10" s="1"/>
  <c r="I1029" i="10" s="1"/>
  <c r="I1030" i="10" s="1"/>
  <c r="I1031" i="10" s="1"/>
  <c r="I1032" i="10" s="1"/>
  <c r="I1033" i="10" s="1"/>
  <c r="I1034" i="10" s="1"/>
  <c r="I1035" i="10" s="1"/>
  <c r="I1036" i="10" s="1"/>
  <c r="I1037" i="10" s="1"/>
  <c r="I1038" i="10" s="1"/>
  <c r="I1039" i="10" s="1"/>
  <c r="I1040" i="10" s="1"/>
  <c r="I1041" i="10" s="1"/>
  <c r="I1042" i="10" s="1"/>
  <c r="I1043" i="10" s="1"/>
  <c r="I1044" i="10" s="1"/>
  <c r="I1045" i="10" s="1"/>
  <c r="I1046" i="10" s="1"/>
  <c r="I1047" i="10" s="1"/>
  <c r="I1048" i="10" s="1"/>
  <c r="I1049" i="10" s="1"/>
  <c r="I1050" i="10" s="1"/>
  <c r="I1051" i="10" s="1"/>
  <c r="I1052" i="10" s="1"/>
  <c r="I1053" i="10" s="1"/>
  <c r="I1054" i="10" s="1"/>
  <c r="I1055" i="10" s="1"/>
  <c r="I1056" i="10" s="1"/>
  <c r="I1057" i="10" s="1"/>
  <c r="I1058" i="10" s="1"/>
  <c r="I1059" i="10" s="1"/>
  <c r="I1060" i="10" s="1"/>
  <c r="I1061" i="10" s="1"/>
  <c r="I1062" i="10" s="1"/>
  <c r="I1063" i="10" s="1"/>
  <c r="I1064" i="10" s="1"/>
  <c r="I1065" i="10" s="1"/>
  <c r="I1066" i="10" s="1"/>
  <c r="I1067" i="10" s="1"/>
  <c r="I1068" i="10" s="1"/>
  <c r="I1069" i="10" s="1"/>
  <c r="I1070" i="10" s="1"/>
  <c r="I1071" i="10" s="1"/>
  <c r="I1072" i="10" s="1"/>
  <c r="I1073" i="10" s="1"/>
  <c r="I1074" i="10" s="1"/>
  <c r="I1075" i="10" s="1"/>
  <c r="I1076" i="10" s="1"/>
  <c r="I1077" i="10" s="1"/>
  <c r="I1078" i="10" s="1"/>
  <c r="I1079" i="10" s="1"/>
  <c r="I1080" i="10" s="1"/>
  <c r="I1081" i="10" s="1"/>
  <c r="I1082" i="10" s="1"/>
  <c r="I1083" i="10" s="1"/>
  <c r="I1084" i="10" s="1"/>
  <c r="I1085" i="10" s="1"/>
  <c r="I1086" i="10" s="1"/>
  <c r="I1087" i="10" s="1"/>
  <c r="I1088" i="10" s="1"/>
  <c r="I1089" i="10" s="1"/>
  <c r="I1090" i="10" s="1"/>
  <c r="I1091" i="10" s="1"/>
  <c r="I1092" i="10" s="1"/>
  <c r="I1093" i="10" s="1"/>
  <c r="I1094" i="10" s="1"/>
  <c r="I1095" i="10" s="1"/>
  <c r="I1096" i="10" s="1"/>
  <c r="I1097" i="10" s="1"/>
  <c r="I1098" i="10" s="1"/>
  <c r="I1099" i="10" s="1"/>
  <c r="I1100" i="10" s="1"/>
  <c r="I1101" i="10" s="1"/>
  <c r="I1102" i="10" s="1"/>
  <c r="I1103" i="10" s="1"/>
  <c r="I1104" i="10" s="1"/>
  <c r="I1105" i="10" s="1"/>
  <c r="I1106" i="10" s="1"/>
  <c r="I1107" i="10" s="1"/>
  <c r="I1108" i="10" s="1"/>
  <c r="I1109" i="10" s="1"/>
  <c r="I1110" i="10" s="1"/>
  <c r="I1111" i="10" s="1"/>
  <c r="I1112" i="10" s="1"/>
  <c r="I1113" i="10" s="1"/>
  <c r="I1114" i="10" s="1"/>
  <c r="I1115" i="10" s="1"/>
  <c r="I1116" i="10" s="1"/>
  <c r="I1117" i="10" s="1"/>
  <c r="I1118" i="10" s="1"/>
  <c r="I1119" i="10" s="1"/>
  <c r="I1120" i="10" s="1"/>
  <c r="I1121" i="10" s="1"/>
  <c r="I1122" i="10" s="1"/>
  <c r="I1123" i="10" s="1"/>
  <c r="I1124" i="10" s="1"/>
  <c r="I1125" i="10" s="1"/>
  <c r="I1126" i="10" s="1"/>
  <c r="I1127" i="10" s="1"/>
  <c r="I1128" i="10" s="1"/>
  <c r="I1129" i="10" s="1"/>
  <c r="I1130" i="10" s="1"/>
  <c r="I1131" i="10" s="1"/>
  <c r="I1132" i="10" s="1"/>
  <c r="I1133" i="10" s="1"/>
  <c r="I1134" i="10" s="1"/>
  <c r="I1135" i="10" s="1"/>
  <c r="I1136" i="10" s="1"/>
  <c r="I1137" i="10" s="1"/>
  <c r="I1138" i="10" s="1"/>
  <c r="I1139" i="10" s="1"/>
  <c r="I1140" i="10" s="1"/>
  <c r="I1141" i="10" s="1"/>
  <c r="I1142" i="10" s="1"/>
  <c r="I1143" i="10" s="1"/>
  <c r="I1144" i="10" s="1"/>
  <c r="I1145" i="10" s="1"/>
  <c r="I1146" i="10" s="1"/>
  <c r="I1147" i="10" s="1"/>
  <c r="I1148" i="10" s="1"/>
  <c r="I1149" i="10" s="1"/>
  <c r="I1150" i="10" s="1"/>
  <c r="I1151" i="10" s="1"/>
  <c r="I1152" i="10" s="1"/>
  <c r="I1153" i="10" s="1"/>
  <c r="I1154" i="10" s="1"/>
  <c r="I1155" i="10" s="1"/>
  <c r="I1156" i="10" s="1"/>
  <c r="I1157" i="10" s="1"/>
  <c r="I1158" i="10" s="1"/>
  <c r="I1159" i="10" s="1"/>
</calcChain>
</file>

<file path=xl/sharedStrings.xml><?xml version="1.0" encoding="utf-8"?>
<sst xmlns="http://schemas.openxmlformats.org/spreadsheetml/2006/main" count="1419" uniqueCount="225">
  <si>
    <t>Data</t>
  </si>
  <si>
    <t>Polígono</t>
  </si>
  <si>
    <t xml:space="preserve">Emulsão </t>
  </si>
  <si>
    <t>Furos</t>
  </si>
  <si>
    <t>Média Kg/Furo</t>
  </si>
  <si>
    <t>UMB</t>
  </si>
  <si>
    <t>Operador</t>
  </si>
  <si>
    <t>Acumulado Emulsão</t>
  </si>
  <si>
    <t>Acumulado Furos</t>
  </si>
  <si>
    <t>PP02-060125</t>
  </si>
  <si>
    <t>DEIVYS</t>
  </si>
  <si>
    <t>Ano 2025</t>
  </si>
  <si>
    <t>GILMAR</t>
  </si>
  <si>
    <t>PP040125</t>
  </si>
  <si>
    <t>PP030125</t>
  </si>
  <si>
    <t>PP080125</t>
  </si>
  <si>
    <t>PP050125</t>
  </si>
  <si>
    <t>PP090125</t>
  </si>
  <si>
    <t>PP070125</t>
  </si>
  <si>
    <t>PP010125</t>
  </si>
  <si>
    <t>PP100125</t>
  </si>
  <si>
    <t>PP130125</t>
  </si>
  <si>
    <t>PP120125</t>
  </si>
  <si>
    <t>PP140225</t>
  </si>
  <si>
    <t>PP240225</t>
  </si>
  <si>
    <t>PP270225</t>
  </si>
  <si>
    <t>PP280225</t>
  </si>
  <si>
    <t>PP220225</t>
  </si>
  <si>
    <t>PP230225</t>
  </si>
  <si>
    <t>PP190225</t>
  </si>
  <si>
    <t>PP250225</t>
  </si>
  <si>
    <t>PP300225</t>
  </si>
  <si>
    <t>PP210225</t>
  </si>
  <si>
    <t>PP290225</t>
  </si>
  <si>
    <t>PP160225</t>
  </si>
  <si>
    <t>PP310225</t>
  </si>
  <si>
    <t>PP180225</t>
  </si>
  <si>
    <t>PP420225</t>
  </si>
  <si>
    <t>PP440325</t>
  </si>
  <si>
    <t>PP400325</t>
  </si>
  <si>
    <t>REGULA LESTE</t>
  </si>
  <si>
    <t>PP480325</t>
  </si>
  <si>
    <t>PP320325</t>
  </si>
  <si>
    <t>PP500325</t>
  </si>
  <si>
    <t>PP470325</t>
  </si>
  <si>
    <t>PP490325</t>
  </si>
  <si>
    <t>PP340325</t>
  </si>
  <si>
    <t>PAULO</t>
  </si>
  <si>
    <t>PP520325</t>
  </si>
  <si>
    <t>PP360325</t>
  </si>
  <si>
    <t>PP370325</t>
  </si>
  <si>
    <t>PP540325</t>
  </si>
  <si>
    <t>PP560425</t>
  </si>
  <si>
    <t>PP580425</t>
  </si>
  <si>
    <t>PP590425</t>
  </si>
  <si>
    <t>PP570425</t>
  </si>
  <si>
    <t>PP600425</t>
  </si>
  <si>
    <t>PP640425</t>
  </si>
  <si>
    <t>PP740425</t>
  </si>
  <si>
    <t>PP610425</t>
  </si>
  <si>
    <t>PP690425</t>
  </si>
  <si>
    <t>PP750425</t>
  </si>
  <si>
    <t>PP620425</t>
  </si>
  <si>
    <t>PP680425</t>
  </si>
  <si>
    <t>PP630525</t>
  </si>
  <si>
    <t>PP770525</t>
  </si>
  <si>
    <t>PP730525</t>
  </si>
  <si>
    <t>PP670525</t>
  </si>
  <si>
    <t>PP780525</t>
  </si>
  <si>
    <t>PP650525</t>
  </si>
  <si>
    <t>PP800525</t>
  </si>
  <si>
    <t>PP810525</t>
  </si>
  <si>
    <t>PP760525</t>
  </si>
  <si>
    <t>REG650525</t>
  </si>
  <si>
    <t>PP820525</t>
  </si>
  <si>
    <t>REG810525</t>
  </si>
  <si>
    <t>PP850625</t>
  </si>
  <si>
    <t>REG680525</t>
  </si>
  <si>
    <t>PP880525</t>
  </si>
  <si>
    <t>PP830525</t>
  </si>
  <si>
    <t>PP900625</t>
  </si>
  <si>
    <t>PP720625</t>
  </si>
  <si>
    <t>PP920625</t>
  </si>
  <si>
    <t>PP840625</t>
  </si>
  <si>
    <t>PP930625</t>
  </si>
  <si>
    <t>PP950625</t>
  </si>
  <si>
    <t>PP700625</t>
  </si>
  <si>
    <t>PP700725</t>
  </si>
  <si>
    <t>PP910525</t>
  </si>
  <si>
    <t>PP940725</t>
  </si>
  <si>
    <t>PP970725</t>
  </si>
  <si>
    <t>PP1090725</t>
  </si>
  <si>
    <t>PP1000725</t>
  </si>
  <si>
    <t>PP980725</t>
  </si>
  <si>
    <t>PP1010725</t>
  </si>
  <si>
    <t>PP1020725</t>
  </si>
  <si>
    <t>PP1030825</t>
  </si>
  <si>
    <t>PP990825</t>
  </si>
  <si>
    <t>PP920825</t>
  </si>
  <si>
    <t>PP1130825</t>
  </si>
  <si>
    <t>PP1070825</t>
  </si>
  <si>
    <t>REGULAPP920825</t>
  </si>
  <si>
    <t>PP1100825</t>
  </si>
  <si>
    <t>PP1040825</t>
  </si>
  <si>
    <t>PP1220825</t>
  </si>
  <si>
    <t>PP1110925</t>
  </si>
  <si>
    <t>PP1120925</t>
  </si>
  <si>
    <t>PP1190925</t>
  </si>
  <si>
    <t>PP1060925</t>
  </si>
  <si>
    <t>PP1360925</t>
  </si>
  <si>
    <t>PP1150925</t>
  </si>
  <si>
    <t>PP1140925</t>
  </si>
  <si>
    <t>PP1080925</t>
  </si>
  <si>
    <t>PP1150925A</t>
  </si>
  <si>
    <t>PP1350925</t>
  </si>
  <si>
    <t>PP1301025</t>
  </si>
  <si>
    <t>PP1371025</t>
  </si>
  <si>
    <t>PP1351025A</t>
  </si>
  <si>
    <t>PP1231025</t>
  </si>
  <si>
    <t>PP1411025</t>
  </si>
  <si>
    <t>PP1391025</t>
  </si>
  <si>
    <t>PP135B1025</t>
  </si>
  <si>
    <t>PP114A1025</t>
  </si>
  <si>
    <t>PP1221025-REG</t>
  </si>
  <si>
    <t>PP1241025</t>
  </si>
  <si>
    <t>PP1271025</t>
  </si>
  <si>
    <t>PP1201025</t>
  </si>
  <si>
    <t>PP120A1025</t>
  </si>
  <si>
    <t>PP1431025</t>
  </si>
  <si>
    <t>PP1401125</t>
  </si>
  <si>
    <t>PP1421125</t>
  </si>
  <si>
    <t>PP1251125</t>
  </si>
  <si>
    <t>PP1471125</t>
  </si>
  <si>
    <t>PP1441125</t>
  </si>
  <si>
    <t>REG-B260-NORDESTE</t>
  </si>
  <si>
    <t>PP1261125</t>
  </si>
  <si>
    <t>PP1491125</t>
  </si>
  <si>
    <t>PP1471125A</t>
  </si>
  <si>
    <t>PP1571125</t>
  </si>
  <si>
    <t>PP1541225</t>
  </si>
  <si>
    <t>PP139A1225</t>
  </si>
  <si>
    <t>PP1501225</t>
  </si>
  <si>
    <t>PP1481225</t>
  </si>
  <si>
    <t>PP1521225</t>
  </si>
  <si>
    <t>PP114A1225</t>
  </si>
  <si>
    <t>PP1511225</t>
  </si>
  <si>
    <t>DEVYS</t>
  </si>
  <si>
    <t>PP149A1225</t>
  </si>
  <si>
    <t>PP1571225</t>
  </si>
  <si>
    <t>PP149B1225</t>
  </si>
  <si>
    <t>PP1601225</t>
  </si>
  <si>
    <t>PP160A1225</t>
  </si>
  <si>
    <t>PP1591225</t>
  </si>
  <si>
    <t>PP1530125</t>
  </si>
  <si>
    <t>PP010126</t>
  </si>
  <si>
    <t>PP01B0126</t>
  </si>
  <si>
    <t>PP1600126</t>
  </si>
  <si>
    <t>PP157B0126</t>
  </si>
  <si>
    <t>PP020126</t>
  </si>
  <si>
    <t>PP1540126</t>
  </si>
  <si>
    <t>PP160B0126</t>
  </si>
  <si>
    <t>PP0100126</t>
  </si>
  <si>
    <t>REGPP040126</t>
  </si>
  <si>
    <t>PP030126</t>
  </si>
  <si>
    <t>PP040226</t>
  </si>
  <si>
    <t>REGPP1480226</t>
  </si>
  <si>
    <t>PP050226</t>
  </si>
  <si>
    <t>PP106C0226</t>
  </si>
  <si>
    <t>PP060226</t>
  </si>
  <si>
    <t>PP070226</t>
  </si>
  <si>
    <t>PP0110226</t>
  </si>
  <si>
    <t>PP01C0326</t>
  </si>
  <si>
    <t>PP180326</t>
  </si>
  <si>
    <t>PP18B0326</t>
  </si>
  <si>
    <t>PP120326</t>
  </si>
  <si>
    <t>PP140326</t>
  </si>
  <si>
    <t>PP18C0326</t>
  </si>
  <si>
    <t>REG1510326</t>
  </si>
  <si>
    <t>PP18D0326</t>
  </si>
  <si>
    <t>PP160326</t>
  </si>
  <si>
    <t>PP250426</t>
  </si>
  <si>
    <t>PP260426</t>
  </si>
  <si>
    <t>PP250426 _B</t>
  </si>
  <si>
    <t>PP 19 SUMP</t>
  </si>
  <si>
    <t>PP 19 SUMP_B</t>
  </si>
  <si>
    <t>PP240426</t>
  </si>
  <si>
    <t>PP190426</t>
  </si>
  <si>
    <t>PP150426</t>
  </si>
  <si>
    <t>PP230425</t>
  </si>
  <si>
    <t>PP250426_C</t>
  </si>
  <si>
    <t>PP250526_D</t>
  </si>
  <si>
    <t>PP290526</t>
  </si>
  <si>
    <t>PP320526</t>
  </si>
  <si>
    <t>THIAGO</t>
  </si>
  <si>
    <t>PP170526</t>
  </si>
  <si>
    <t>TRIM150526</t>
  </si>
  <si>
    <t>PP290526_B</t>
  </si>
  <si>
    <t>REG260526</t>
  </si>
  <si>
    <t>PP190526_B</t>
  </si>
  <si>
    <t>PP290526_C</t>
  </si>
  <si>
    <t>PP090526</t>
  </si>
  <si>
    <t>PP210526</t>
  </si>
  <si>
    <t>PP310625</t>
  </si>
  <si>
    <t>PP210626_B</t>
  </si>
  <si>
    <t>PP300626</t>
  </si>
  <si>
    <t>PP340626</t>
  </si>
  <si>
    <t>Ano</t>
  </si>
  <si>
    <t>Mês</t>
  </si>
  <si>
    <t>Dia_Represent</t>
  </si>
  <si>
    <t>Meta</t>
  </si>
  <si>
    <t>Ritmo</t>
  </si>
  <si>
    <t>Aplicado</t>
  </si>
  <si>
    <t>Diferença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</si>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</sst>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\ &quot;Kg&quot;"/>
    <numFmt numFmtId="165" formatCode="_-* #,##0_-;\-* #,##0_-;_-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3" xfId="1" applyNumberFormat="1" applyFont="1" applyBorder="1"/>
    <xf numFmtId="2" fontId="1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3" fontId="5" fillId="0" borderId="0" xfId="0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333333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0C1F-3773-4836-BA51-9BD987A2A12C}">
  <sheetPr>
    <tabColor rgb="FF00B050"/>
  </sheetPr>
  <dimension ref="A1:J1159"/>
  <sheetViews>
    <sheetView showGridLines="0" topLeftCell="A666" zoomScale="110" zoomScaleNormal="110" workbookViewId="0">
      <selection activeCell="D687" sqref="D687"/>
    </sheetView>
  </sheetViews>
  <sheetFormatPr defaultColWidth="8.5703125" defaultRowHeight="15"/>
  <cols>
    <col min="1" max="1" width="15.5703125" style="12" customWidth="1"/>
    <col min="2" max="2" width="19.5703125" style="10" bestFit="1" customWidth="1"/>
    <col min="3" max="3" width="13.42578125" style="27" bestFit="1" customWidth="1"/>
    <col min="4" max="4" width="10.42578125" style="11" bestFit="1" customWidth="1"/>
    <col min="5" max="5" width="18.7109375" style="7" bestFit="1" customWidth="1"/>
    <col min="6" max="6" width="10" style="10" bestFit="1" customWidth="1"/>
    <col min="7" max="7" width="14" style="10" bestFit="1" customWidth="1"/>
    <col min="8" max="8" width="23.7109375" style="14" bestFit="1" customWidth="1"/>
    <col min="9" max="9" width="22.5703125" style="9" bestFit="1" customWidth="1"/>
    <col min="10" max="10" width="9" style="10" bestFit="1" customWidth="1"/>
    <col min="11" max="16384" width="8.5703125" style="4"/>
  </cols>
  <sheetData>
    <row r="1" spans="1:10" s="19" customFormat="1">
      <c r="A1" s="15" t="s">
        <v>0</v>
      </c>
      <c r="B1" s="16" t="s">
        <v>1</v>
      </c>
      <c r="C1" s="26" t="s">
        <v>2</v>
      </c>
      <c r="D1" s="17" t="s">
        <v>3</v>
      </c>
      <c r="E1" s="17" t="s">
        <v>4</v>
      </c>
      <c r="F1" s="16" t="s">
        <v>5</v>
      </c>
      <c r="G1" s="16" t="s">
        <v>6</v>
      </c>
      <c r="H1" s="16" t="s">
        <v>7</v>
      </c>
      <c r="I1" s="18" t="s">
        <v>8</v>
      </c>
      <c r="J1" s="16"/>
    </row>
    <row r="2" spans="1:10">
      <c r="A2" s="5">
        <v>45659</v>
      </c>
      <c r="B2" s="6" t="s">
        <v>9</v>
      </c>
      <c r="C2" s="27">
        <v>15304</v>
      </c>
      <c r="D2" s="6">
        <v>165</v>
      </c>
      <c r="E2" s="7">
        <f t="shared" ref="E2:E65" si="0">IF(D2&gt;0,(C2/D2),"*")</f>
        <v>92.75151515151515</v>
      </c>
      <c r="F2" s="10">
        <v>1072</v>
      </c>
      <c r="G2" s="6" t="s">
        <v>10</v>
      </c>
      <c r="H2" s="8">
        <f>C2</f>
        <v>15304</v>
      </c>
      <c r="I2" s="9">
        <f>C2+D2</f>
        <v>15469</v>
      </c>
      <c r="J2" s="10" t="s">
        <v>11</v>
      </c>
    </row>
    <row r="3" spans="1:10">
      <c r="A3" s="5">
        <v>45659</v>
      </c>
      <c r="B3" s="6" t="s">
        <v>9</v>
      </c>
      <c r="C3" s="27">
        <v>9577</v>
      </c>
      <c r="D3" s="6">
        <v>119</v>
      </c>
      <c r="E3" s="7">
        <f t="shared" si="0"/>
        <v>80.47899159663865</v>
      </c>
      <c r="F3" s="10">
        <v>1123</v>
      </c>
      <c r="G3" s="6" t="s">
        <v>12</v>
      </c>
      <c r="H3" s="8">
        <f t="shared" ref="H3:I18" si="1">H2+C3</f>
        <v>24881</v>
      </c>
      <c r="I3" s="9">
        <f t="shared" si="1"/>
        <v>15588</v>
      </c>
    </row>
    <row r="4" spans="1:10">
      <c r="A4" s="5">
        <v>45664</v>
      </c>
      <c r="B4" s="6" t="s">
        <v>13</v>
      </c>
      <c r="C4" s="27">
        <v>9110</v>
      </c>
      <c r="D4" s="6">
        <v>72</v>
      </c>
      <c r="E4" s="7">
        <f t="shared" si="0"/>
        <v>126.52777777777777</v>
      </c>
      <c r="F4" s="10">
        <v>1072</v>
      </c>
      <c r="G4" s="6" t="s">
        <v>10</v>
      </c>
      <c r="H4" s="8">
        <f t="shared" si="1"/>
        <v>33991</v>
      </c>
      <c r="I4" s="9">
        <f t="shared" si="1"/>
        <v>15660</v>
      </c>
    </row>
    <row r="5" spans="1:10">
      <c r="A5" s="5">
        <v>45665</v>
      </c>
      <c r="B5" s="6" t="s">
        <v>14</v>
      </c>
      <c r="C5" s="27">
        <v>11854</v>
      </c>
      <c r="D5" s="6">
        <v>89</v>
      </c>
      <c r="E5" s="7">
        <f t="shared" si="0"/>
        <v>133.19101123595505</v>
      </c>
      <c r="F5" s="10">
        <v>1072</v>
      </c>
      <c r="G5" s="6" t="s">
        <v>10</v>
      </c>
      <c r="H5" s="8">
        <f t="shared" si="1"/>
        <v>45845</v>
      </c>
      <c r="I5" s="9">
        <f t="shared" si="1"/>
        <v>15749</v>
      </c>
    </row>
    <row r="6" spans="1:10">
      <c r="A6" s="5">
        <v>45665</v>
      </c>
      <c r="B6" s="6" t="s">
        <v>14</v>
      </c>
      <c r="C6" s="27">
        <v>16055</v>
      </c>
      <c r="D6" s="6">
        <v>130</v>
      </c>
      <c r="E6" s="7">
        <f t="shared" si="0"/>
        <v>123.5</v>
      </c>
      <c r="F6" s="10">
        <v>1123</v>
      </c>
      <c r="G6" s="6" t="s">
        <v>12</v>
      </c>
      <c r="H6" s="8">
        <f t="shared" si="1"/>
        <v>61900</v>
      </c>
      <c r="I6" s="9">
        <f t="shared" si="1"/>
        <v>15879</v>
      </c>
    </row>
    <row r="7" spans="1:10">
      <c r="A7" s="5">
        <v>45666</v>
      </c>
      <c r="B7" s="6" t="s">
        <v>14</v>
      </c>
      <c r="C7" s="27">
        <v>2167</v>
      </c>
      <c r="D7" s="6">
        <v>19</v>
      </c>
      <c r="E7" s="7">
        <f t="shared" si="0"/>
        <v>114.05263157894737</v>
      </c>
      <c r="F7" s="10">
        <v>1072</v>
      </c>
      <c r="G7" s="6" t="s">
        <v>10</v>
      </c>
      <c r="H7" s="8">
        <f t="shared" si="1"/>
        <v>64067</v>
      </c>
      <c r="I7" s="9">
        <f t="shared" si="1"/>
        <v>15898</v>
      </c>
    </row>
    <row r="8" spans="1:10">
      <c r="A8" s="5">
        <v>45666</v>
      </c>
      <c r="B8" s="6" t="s">
        <v>13</v>
      </c>
      <c r="C8" s="27">
        <v>7087</v>
      </c>
      <c r="D8" s="6">
        <v>58</v>
      </c>
      <c r="E8" s="7">
        <f t="shared" si="0"/>
        <v>122.18965517241379</v>
      </c>
      <c r="F8" s="10">
        <v>1072</v>
      </c>
      <c r="G8" s="6" t="s">
        <v>10</v>
      </c>
      <c r="H8" s="8">
        <f t="shared" si="1"/>
        <v>71154</v>
      </c>
      <c r="I8" s="9">
        <f t="shared" si="1"/>
        <v>15956</v>
      </c>
    </row>
    <row r="9" spans="1:10">
      <c r="A9" s="5">
        <v>45666</v>
      </c>
      <c r="B9" s="6" t="s">
        <v>13</v>
      </c>
      <c r="C9" s="27">
        <v>5818</v>
      </c>
      <c r="D9" s="6">
        <v>44</v>
      </c>
      <c r="E9" s="7">
        <f t="shared" si="0"/>
        <v>132.22727272727272</v>
      </c>
      <c r="F9" s="10">
        <v>1123</v>
      </c>
      <c r="G9" s="10" t="s">
        <v>12</v>
      </c>
      <c r="H9" s="8">
        <f t="shared" si="1"/>
        <v>76972</v>
      </c>
      <c r="I9" s="9">
        <f t="shared" si="1"/>
        <v>16000</v>
      </c>
    </row>
    <row r="10" spans="1:10">
      <c r="A10" s="5">
        <v>45668</v>
      </c>
      <c r="B10" s="6" t="s">
        <v>15</v>
      </c>
      <c r="C10" s="27">
        <v>8869</v>
      </c>
      <c r="D10" s="6">
        <v>72</v>
      </c>
      <c r="E10" s="7">
        <f t="shared" si="0"/>
        <v>123.18055555555556</v>
      </c>
      <c r="F10" s="10">
        <v>1123</v>
      </c>
      <c r="G10" s="6" t="s">
        <v>12</v>
      </c>
      <c r="H10" s="8">
        <f t="shared" si="1"/>
        <v>85841</v>
      </c>
      <c r="I10" s="9">
        <f t="shared" si="1"/>
        <v>16072</v>
      </c>
    </row>
    <row r="11" spans="1:10">
      <c r="A11" s="5">
        <v>45670</v>
      </c>
      <c r="B11" s="6" t="s">
        <v>15</v>
      </c>
      <c r="C11" s="27">
        <v>12024</v>
      </c>
      <c r="D11" s="6">
        <v>107</v>
      </c>
      <c r="E11" s="7">
        <f t="shared" si="0"/>
        <v>112.37383177570094</v>
      </c>
      <c r="F11" s="10">
        <v>1072</v>
      </c>
      <c r="G11" s="6" t="s">
        <v>10</v>
      </c>
      <c r="H11" s="8">
        <f t="shared" si="1"/>
        <v>97865</v>
      </c>
      <c r="I11" s="9">
        <f t="shared" si="1"/>
        <v>16179</v>
      </c>
    </row>
    <row r="12" spans="1:10">
      <c r="A12" s="5">
        <v>45670</v>
      </c>
      <c r="B12" s="6" t="s">
        <v>15</v>
      </c>
      <c r="C12" s="27">
        <v>10360</v>
      </c>
      <c r="D12" s="6">
        <v>90</v>
      </c>
      <c r="E12" s="7">
        <f t="shared" si="0"/>
        <v>115.11111111111111</v>
      </c>
      <c r="F12" s="10">
        <v>1123</v>
      </c>
      <c r="G12" s="6" t="s">
        <v>12</v>
      </c>
      <c r="H12" s="8">
        <f t="shared" si="1"/>
        <v>108225</v>
      </c>
      <c r="I12" s="9">
        <f t="shared" si="1"/>
        <v>16269</v>
      </c>
    </row>
    <row r="13" spans="1:10">
      <c r="A13" s="5">
        <v>45671</v>
      </c>
      <c r="B13" s="6" t="s">
        <v>16</v>
      </c>
      <c r="C13" s="27">
        <v>7079</v>
      </c>
      <c r="D13" s="6">
        <v>72</v>
      </c>
      <c r="E13" s="7">
        <f t="shared" si="0"/>
        <v>98.319444444444443</v>
      </c>
      <c r="F13" s="10">
        <v>1123</v>
      </c>
      <c r="G13" s="6" t="s">
        <v>12</v>
      </c>
      <c r="H13" s="8">
        <f t="shared" si="1"/>
        <v>115304</v>
      </c>
      <c r="I13" s="9">
        <f t="shared" si="1"/>
        <v>16341</v>
      </c>
    </row>
    <row r="14" spans="1:10">
      <c r="A14" s="5">
        <v>45672</v>
      </c>
      <c r="B14" s="6" t="s">
        <v>16</v>
      </c>
      <c r="C14" s="27">
        <v>8109</v>
      </c>
      <c r="D14" s="6">
        <v>66</v>
      </c>
      <c r="E14" s="7">
        <f t="shared" si="0"/>
        <v>122.86363636363636</v>
      </c>
      <c r="F14" s="10">
        <v>1123</v>
      </c>
      <c r="G14" s="6" t="s">
        <v>12</v>
      </c>
      <c r="H14" s="8">
        <f t="shared" si="1"/>
        <v>123413</v>
      </c>
      <c r="I14" s="9">
        <f t="shared" si="1"/>
        <v>16407</v>
      </c>
    </row>
    <row r="15" spans="1:10">
      <c r="A15" s="5">
        <v>45672</v>
      </c>
      <c r="B15" s="6" t="s">
        <v>16</v>
      </c>
      <c r="C15" s="27">
        <v>8258</v>
      </c>
      <c r="D15" s="6">
        <v>102</v>
      </c>
      <c r="E15" s="7">
        <f t="shared" si="0"/>
        <v>80.960784313725483</v>
      </c>
      <c r="F15" s="10">
        <v>1072</v>
      </c>
      <c r="G15" s="6" t="s">
        <v>10</v>
      </c>
      <c r="H15" s="8">
        <f t="shared" si="1"/>
        <v>131671</v>
      </c>
      <c r="I15" s="9">
        <f t="shared" si="1"/>
        <v>16509</v>
      </c>
    </row>
    <row r="16" spans="1:10">
      <c r="A16" s="5">
        <v>45672</v>
      </c>
      <c r="B16" s="6" t="s">
        <v>17</v>
      </c>
      <c r="C16" s="27">
        <v>3020</v>
      </c>
      <c r="D16" s="6">
        <v>45</v>
      </c>
      <c r="E16" s="7">
        <f t="shared" si="0"/>
        <v>67.111111111111114</v>
      </c>
      <c r="F16" s="10">
        <v>1072</v>
      </c>
      <c r="G16" s="6" t="s">
        <v>10</v>
      </c>
      <c r="H16" s="8">
        <f t="shared" si="1"/>
        <v>134691</v>
      </c>
      <c r="I16" s="9">
        <f t="shared" si="1"/>
        <v>16554</v>
      </c>
    </row>
    <row r="17" spans="1:9">
      <c r="A17" s="5">
        <v>45673</v>
      </c>
      <c r="B17" s="6" t="s">
        <v>17</v>
      </c>
      <c r="C17" s="27">
        <v>8423</v>
      </c>
      <c r="D17" s="6">
        <v>107</v>
      </c>
      <c r="E17" s="7">
        <f t="shared" si="0"/>
        <v>78.719626168224295</v>
      </c>
      <c r="F17" s="10">
        <v>1123</v>
      </c>
      <c r="G17" s="6" t="s">
        <v>12</v>
      </c>
      <c r="H17" s="8">
        <f t="shared" si="1"/>
        <v>143114</v>
      </c>
      <c r="I17" s="9">
        <f t="shared" si="1"/>
        <v>16661</v>
      </c>
    </row>
    <row r="18" spans="1:9">
      <c r="A18" s="5">
        <v>45673</v>
      </c>
      <c r="B18" s="6" t="s">
        <v>17</v>
      </c>
      <c r="C18" s="27">
        <v>8231</v>
      </c>
      <c r="D18" s="6">
        <v>82</v>
      </c>
      <c r="E18" s="7">
        <f t="shared" si="0"/>
        <v>100.3780487804878</v>
      </c>
      <c r="F18" s="10">
        <v>1072</v>
      </c>
      <c r="G18" s="6" t="s">
        <v>10</v>
      </c>
      <c r="H18" s="8">
        <f t="shared" si="1"/>
        <v>151345</v>
      </c>
      <c r="I18" s="9">
        <f t="shared" si="1"/>
        <v>16743</v>
      </c>
    </row>
    <row r="19" spans="1:9">
      <c r="A19" s="5">
        <v>45674</v>
      </c>
      <c r="B19" s="6" t="s">
        <v>17</v>
      </c>
      <c r="C19" s="27">
        <v>5014</v>
      </c>
      <c r="D19" s="6">
        <v>43</v>
      </c>
      <c r="E19" s="7">
        <f t="shared" si="0"/>
        <v>116.6046511627907</v>
      </c>
      <c r="F19" s="10">
        <v>1072</v>
      </c>
      <c r="G19" s="6" t="s">
        <v>10</v>
      </c>
      <c r="H19" s="8">
        <f t="shared" ref="H19:I34" si="2">H18+C19</f>
        <v>156359</v>
      </c>
      <c r="I19" s="9">
        <f t="shared" si="2"/>
        <v>16786</v>
      </c>
    </row>
    <row r="20" spans="1:9">
      <c r="A20" s="5">
        <v>45677</v>
      </c>
      <c r="B20" s="6" t="s">
        <v>18</v>
      </c>
      <c r="C20" s="27">
        <v>11510</v>
      </c>
      <c r="D20" s="6">
        <v>88</v>
      </c>
      <c r="E20" s="7">
        <f t="shared" si="0"/>
        <v>130.79545454545453</v>
      </c>
      <c r="F20" s="10">
        <v>1072</v>
      </c>
      <c r="G20" s="6" t="s">
        <v>10</v>
      </c>
      <c r="H20" s="8">
        <f t="shared" si="2"/>
        <v>167869</v>
      </c>
      <c r="I20" s="9">
        <f t="shared" si="2"/>
        <v>16874</v>
      </c>
    </row>
    <row r="21" spans="1:9">
      <c r="A21" s="5">
        <v>45677</v>
      </c>
      <c r="B21" s="6" t="s">
        <v>18</v>
      </c>
      <c r="C21" s="27">
        <v>14210</v>
      </c>
      <c r="D21" s="6">
        <v>116</v>
      </c>
      <c r="E21" s="7">
        <f t="shared" si="0"/>
        <v>122.5</v>
      </c>
      <c r="F21" s="10">
        <v>1123</v>
      </c>
      <c r="G21" s="6" t="s">
        <v>12</v>
      </c>
      <c r="H21" s="8">
        <f t="shared" si="2"/>
        <v>182079</v>
      </c>
      <c r="I21" s="9">
        <f t="shared" si="2"/>
        <v>16990</v>
      </c>
    </row>
    <row r="22" spans="1:9">
      <c r="A22" s="5">
        <v>45679</v>
      </c>
      <c r="B22" s="6" t="s">
        <v>19</v>
      </c>
      <c r="C22" s="27">
        <v>9752</v>
      </c>
      <c r="D22" s="6">
        <v>129</v>
      </c>
      <c r="E22" s="7">
        <f t="shared" si="0"/>
        <v>75.596899224806208</v>
      </c>
      <c r="F22" s="10">
        <v>1123</v>
      </c>
      <c r="G22" s="6" t="s">
        <v>12</v>
      </c>
      <c r="H22" s="8">
        <f t="shared" si="2"/>
        <v>191831</v>
      </c>
      <c r="I22" s="9">
        <f t="shared" si="2"/>
        <v>17119</v>
      </c>
    </row>
    <row r="23" spans="1:9">
      <c r="A23" s="5">
        <v>45679</v>
      </c>
      <c r="B23" s="6" t="s">
        <v>19</v>
      </c>
      <c r="C23" s="27">
        <v>8550</v>
      </c>
      <c r="D23" s="6">
        <v>116</v>
      </c>
      <c r="E23" s="7">
        <f t="shared" si="0"/>
        <v>73.706896551724142</v>
      </c>
      <c r="F23" s="10">
        <v>1072</v>
      </c>
      <c r="G23" s="6" t="s">
        <v>10</v>
      </c>
      <c r="H23" s="8">
        <f t="shared" si="2"/>
        <v>200381</v>
      </c>
      <c r="I23" s="9">
        <f t="shared" si="2"/>
        <v>17235</v>
      </c>
    </row>
    <row r="24" spans="1:9">
      <c r="A24" s="5">
        <v>45681</v>
      </c>
      <c r="B24" s="6" t="s">
        <v>20</v>
      </c>
      <c r="C24" s="27">
        <v>8410</v>
      </c>
      <c r="D24" s="6">
        <v>66</v>
      </c>
      <c r="E24" s="7">
        <f t="shared" si="0"/>
        <v>127.42424242424242</v>
      </c>
      <c r="F24" s="10">
        <v>1072</v>
      </c>
      <c r="G24" s="6" t="s">
        <v>10</v>
      </c>
      <c r="H24" s="8">
        <f t="shared" si="2"/>
        <v>208791</v>
      </c>
      <c r="I24" s="9">
        <f t="shared" si="2"/>
        <v>17301</v>
      </c>
    </row>
    <row r="25" spans="1:9">
      <c r="A25" s="5">
        <v>45681</v>
      </c>
      <c r="B25" s="6" t="s">
        <v>20</v>
      </c>
      <c r="C25" s="27">
        <v>5750</v>
      </c>
      <c r="D25" s="6">
        <v>42</v>
      </c>
      <c r="E25" s="7">
        <f t="shared" si="0"/>
        <v>136.9047619047619</v>
      </c>
      <c r="F25" s="10">
        <v>1123</v>
      </c>
      <c r="G25" s="6" t="s">
        <v>12</v>
      </c>
      <c r="H25" s="8">
        <f t="shared" si="2"/>
        <v>214541</v>
      </c>
      <c r="I25" s="9">
        <f t="shared" si="2"/>
        <v>17343</v>
      </c>
    </row>
    <row r="26" spans="1:9">
      <c r="A26" s="5">
        <v>45684</v>
      </c>
      <c r="B26" s="6" t="s">
        <v>20</v>
      </c>
      <c r="C26" s="27">
        <v>7644</v>
      </c>
      <c r="D26" s="6">
        <v>55</v>
      </c>
      <c r="E26" s="7">
        <f t="shared" si="0"/>
        <v>138.98181818181817</v>
      </c>
      <c r="F26" s="10">
        <v>1123</v>
      </c>
      <c r="G26" s="6" t="s">
        <v>12</v>
      </c>
      <c r="H26" s="8">
        <f t="shared" si="2"/>
        <v>222185</v>
      </c>
      <c r="I26" s="9">
        <f t="shared" si="2"/>
        <v>17398</v>
      </c>
    </row>
    <row r="27" spans="1:9">
      <c r="A27" s="5">
        <v>45684</v>
      </c>
      <c r="B27" s="6" t="s">
        <v>20</v>
      </c>
      <c r="C27" s="27">
        <v>6294</v>
      </c>
      <c r="D27" s="6">
        <v>53</v>
      </c>
      <c r="E27" s="7">
        <f t="shared" si="0"/>
        <v>118.75471698113208</v>
      </c>
      <c r="F27" s="10">
        <v>1072</v>
      </c>
      <c r="G27" s="6" t="s">
        <v>10</v>
      </c>
      <c r="H27" s="8">
        <f t="shared" si="2"/>
        <v>228479</v>
      </c>
      <c r="I27" s="9">
        <f t="shared" si="2"/>
        <v>17451</v>
      </c>
    </row>
    <row r="28" spans="1:9">
      <c r="A28" s="5">
        <v>45685</v>
      </c>
      <c r="B28" s="6" t="s">
        <v>20</v>
      </c>
      <c r="C28" s="27">
        <v>8605</v>
      </c>
      <c r="D28" s="6">
        <v>61</v>
      </c>
      <c r="E28" s="7">
        <f t="shared" si="0"/>
        <v>141.0655737704918</v>
      </c>
      <c r="F28" s="10">
        <v>1072</v>
      </c>
      <c r="G28" s="6" t="s">
        <v>10</v>
      </c>
      <c r="H28" s="8">
        <f t="shared" si="2"/>
        <v>237084</v>
      </c>
      <c r="I28" s="9">
        <f t="shared" si="2"/>
        <v>17512</v>
      </c>
    </row>
    <row r="29" spans="1:9">
      <c r="A29" s="5">
        <v>45686</v>
      </c>
      <c r="B29" s="6" t="s">
        <v>21</v>
      </c>
      <c r="C29" s="27">
        <v>4444</v>
      </c>
      <c r="D29" s="6">
        <v>59</v>
      </c>
      <c r="E29" s="7">
        <f t="shared" si="0"/>
        <v>75.322033898305079</v>
      </c>
      <c r="F29" s="10">
        <v>1123</v>
      </c>
      <c r="G29" s="6" t="s">
        <v>12</v>
      </c>
      <c r="H29" s="8">
        <f t="shared" si="2"/>
        <v>241528</v>
      </c>
      <c r="I29" s="9">
        <f t="shared" si="2"/>
        <v>17571</v>
      </c>
    </row>
    <row r="30" spans="1:9">
      <c r="A30" s="5">
        <v>45686</v>
      </c>
      <c r="B30" s="6" t="s">
        <v>21</v>
      </c>
      <c r="C30" s="27">
        <v>8303</v>
      </c>
      <c r="D30" s="6">
        <v>111</v>
      </c>
      <c r="E30" s="7">
        <f t="shared" si="0"/>
        <v>74.801801801801801</v>
      </c>
      <c r="F30" s="10">
        <v>1072</v>
      </c>
      <c r="G30" s="6" t="s">
        <v>10</v>
      </c>
      <c r="H30" s="8">
        <f t="shared" si="2"/>
        <v>249831</v>
      </c>
      <c r="I30" s="9">
        <f t="shared" si="2"/>
        <v>17682</v>
      </c>
    </row>
    <row r="31" spans="1:9">
      <c r="A31" s="5">
        <v>45687</v>
      </c>
      <c r="B31" s="6" t="s">
        <v>22</v>
      </c>
      <c r="C31" s="27">
        <v>11494</v>
      </c>
      <c r="D31" s="6">
        <v>83</v>
      </c>
      <c r="E31" s="7">
        <f t="shared" si="0"/>
        <v>138.48192771084337</v>
      </c>
      <c r="F31" s="10">
        <v>1072</v>
      </c>
      <c r="G31" s="6" t="s">
        <v>10</v>
      </c>
      <c r="H31" s="8">
        <f t="shared" si="2"/>
        <v>261325</v>
      </c>
      <c r="I31" s="9">
        <f t="shared" si="2"/>
        <v>17765</v>
      </c>
    </row>
    <row r="32" spans="1:9">
      <c r="A32" s="5">
        <v>45687</v>
      </c>
      <c r="B32" s="6" t="s">
        <v>22</v>
      </c>
      <c r="C32" s="27">
        <v>14322</v>
      </c>
      <c r="D32" s="6">
        <v>117</v>
      </c>
      <c r="E32" s="7">
        <f t="shared" si="0"/>
        <v>122.41025641025641</v>
      </c>
      <c r="F32" s="10">
        <v>1123</v>
      </c>
      <c r="G32" s="6" t="s">
        <v>12</v>
      </c>
      <c r="H32" s="8">
        <f t="shared" si="2"/>
        <v>275647</v>
      </c>
      <c r="I32" s="9">
        <f t="shared" si="2"/>
        <v>17882</v>
      </c>
    </row>
    <row r="33" spans="1:9">
      <c r="A33" s="5">
        <v>45689</v>
      </c>
      <c r="B33" s="6" t="s">
        <v>23</v>
      </c>
      <c r="C33" s="27">
        <v>10264</v>
      </c>
      <c r="D33" s="6">
        <v>66</v>
      </c>
      <c r="E33" s="7">
        <f t="shared" si="0"/>
        <v>155.5151515151515</v>
      </c>
      <c r="F33" s="10">
        <v>1123</v>
      </c>
      <c r="G33" s="6" t="s">
        <v>12</v>
      </c>
      <c r="H33" s="8">
        <f t="shared" si="2"/>
        <v>285911</v>
      </c>
      <c r="I33" s="9">
        <f t="shared" si="2"/>
        <v>17948</v>
      </c>
    </row>
    <row r="34" spans="1:9">
      <c r="A34" s="5">
        <v>45689</v>
      </c>
      <c r="B34" s="6" t="s">
        <v>23</v>
      </c>
      <c r="C34" s="27">
        <v>6100</v>
      </c>
      <c r="D34" s="6">
        <v>42</v>
      </c>
      <c r="E34" s="7">
        <f t="shared" si="0"/>
        <v>145.23809523809524</v>
      </c>
      <c r="F34" s="10">
        <v>1072</v>
      </c>
      <c r="G34" s="6" t="s">
        <v>10</v>
      </c>
      <c r="H34" s="8">
        <f t="shared" si="2"/>
        <v>292011</v>
      </c>
      <c r="I34" s="9">
        <f t="shared" si="2"/>
        <v>17990</v>
      </c>
    </row>
    <row r="35" spans="1:9">
      <c r="A35" s="5">
        <v>45691</v>
      </c>
      <c r="B35" s="6" t="s">
        <v>23</v>
      </c>
      <c r="C35" s="27">
        <v>10149</v>
      </c>
      <c r="D35" s="6">
        <v>67</v>
      </c>
      <c r="E35" s="7">
        <f t="shared" si="0"/>
        <v>151.47761194029852</v>
      </c>
      <c r="F35" s="10">
        <v>1123</v>
      </c>
      <c r="G35" s="6" t="s">
        <v>12</v>
      </c>
      <c r="H35" s="8">
        <f t="shared" ref="H35:I50" si="3">H34+C35</f>
        <v>302160</v>
      </c>
      <c r="I35" s="9">
        <f t="shared" si="3"/>
        <v>18057</v>
      </c>
    </row>
    <row r="36" spans="1:9">
      <c r="A36" s="5">
        <v>45691</v>
      </c>
      <c r="B36" s="6" t="s">
        <v>23</v>
      </c>
      <c r="C36" s="27">
        <v>9727</v>
      </c>
      <c r="D36" s="6">
        <v>122</v>
      </c>
      <c r="E36" s="7">
        <f t="shared" si="0"/>
        <v>79.729508196721312</v>
      </c>
      <c r="F36" s="10">
        <v>1072</v>
      </c>
      <c r="G36" s="6" t="s">
        <v>10</v>
      </c>
      <c r="H36" s="8">
        <f t="shared" si="3"/>
        <v>311887</v>
      </c>
      <c r="I36" s="9">
        <f t="shared" si="3"/>
        <v>18179</v>
      </c>
    </row>
    <row r="37" spans="1:9">
      <c r="A37" s="5">
        <v>45692</v>
      </c>
      <c r="B37" s="6" t="s">
        <v>24</v>
      </c>
      <c r="C37" s="27">
        <v>11680</v>
      </c>
      <c r="D37" s="6">
        <v>95</v>
      </c>
      <c r="E37" s="7">
        <f t="shared" si="0"/>
        <v>122.94736842105263</v>
      </c>
      <c r="F37" s="10">
        <v>1072</v>
      </c>
      <c r="G37" s="6" t="s">
        <v>10</v>
      </c>
      <c r="H37" s="8">
        <f t="shared" si="3"/>
        <v>323567</v>
      </c>
      <c r="I37" s="9">
        <f t="shared" si="3"/>
        <v>18274</v>
      </c>
    </row>
    <row r="38" spans="1:9">
      <c r="A38" s="5">
        <v>45693</v>
      </c>
      <c r="B38" s="6" t="s">
        <v>24</v>
      </c>
      <c r="C38" s="27">
        <v>10073</v>
      </c>
      <c r="D38" s="6">
        <v>81</v>
      </c>
      <c r="E38" s="7">
        <f t="shared" si="0"/>
        <v>124.35802469135803</v>
      </c>
      <c r="F38" s="10">
        <v>1072</v>
      </c>
      <c r="G38" s="6" t="s">
        <v>10</v>
      </c>
      <c r="H38" s="8">
        <f t="shared" si="3"/>
        <v>333640</v>
      </c>
      <c r="I38" s="9">
        <f t="shared" si="3"/>
        <v>18355</v>
      </c>
    </row>
    <row r="39" spans="1:9">
      <c r="A39" s="5">
        <v>45693</v>
      </c>
      <c r="B39" s="6" t="s">
        <v>25</v>
      </c>
      <c r="C39" s="27">
        <v>3459</v>
      </c>
      <c r="D39" s="6">
        <v>48</v>
      </c>
      <c r="E39" s="7">
        <f t="shared" si="0"/>
        <v>72.0625</v>
      </c>
      <c r="F39" s="10">
        <v>1072</v>
      </c>
      <c r="G39" s="6" t="s">
        <v>10</v>
      </c>
      <c r="H39" s="8">
        <f t="shared" si="3"/>
        <v>337099</v>
      </c>
      <c r="I39" s="9">
        <f t="shared" si="3"/>
        <v>18403</v>
      </c>
    </row>
    <row r="40" spans="1:9">
      <c r="A40" s="5">
        <v>45694</v>
      </c>
      <c r="B40" s="6" t="s">
        <v>25</v>
      </c>
      <c r="C40" s="27">
        <v>5512</v>
      </c>
      <c r="D40" s="6">
        <v>71</v>
      </c>
      <c r="E40" s="7">
        <f t="shared" si="0"/>
        <v>77.633802816901408</v>
      </c>
      <c r="F40" s="10">
        <v>1123</v>
      </c>
      <c r="G40" s="6" t="s">
        <v>12</v>
      </c>
      <c r="H40" s="8">
        <f t="shared" si="3"/>
        <v>342611</v>
      </c>
      <c r="I40" s="9">
        <f t="shared" si="3"/>
        <v>18474</v>
      </c>
    </row>
    <row r="41" spans="1:9">
      <c r="A41" s="5">
        <v>45694</v>
      </c>
      <c r="B41" s="6" t="s">
        <v>26</v>
      </c>
      <c r="C41" s="27">
        <v>10276</v>
      </c>
      <c r="D41" s="6">
        <v>136</v>
      </c>
      <c r="E41" s="7">
        <f t="shared" si="0"/>
        <v>75.558823529411768</v>
      </c>
      <c r="F41" s="10">
        <v>1072</v>
      </c>
      <c r="G41" s="6" t="s">
        <v>10</v>
      </c>
      <c r="H41" s="8">
        <f t="shared" si="3"/>
        <v>352887</v>
      </c>
      <c r="I41" s="9">
        <f t="shared" si="3"/>
        <v>18610</v>
      </c>
    </row>
    <row r="42" spans="1:9">
      <c r="A42" s="5">
        <v>45694</v>
      </c>
      <c r="B42" s="6" t="s">
        <v>26</v>
      </c>
      <c r="C42" s="27">
        <v>2859</v>
      </c>
      <c r="D42" s="6">
        <v>33</v>
      </c>
      <c r="E42" s="7">
        <f t="shared" si="0"/>
        <v>86.63636363636364</v>
      </c>
      <c r="F42" s="10">
        <v>1123</v>
      </c>
      <c r="G42" s="6" t="s">
        <v>12</v>
      </c>
      <c r="H42" s="8">
        <f t="shared" si="3"/>
        <v>355746</v>
      </c>
      <c r="I42" s="9">
        <f t="shared" si="3"/>
        <v>18643</v>
      </c>
    </row>
    <row r="43" spans="1:9">
      <c r="A43" s="5">
        <v>45698</v>
      </c>
      <c r="B43" s="6" t="s">
        <v>27</v>
      </c>
      <c r="C43" s="27">
        <v>9700</v>
      </c>
      <c r="D43" s="6">
        <v>86</v>
      </c>
      <c r="E43" s="7">
        <f t="shared" si="0"/>
        <v>112.79069767441861</v>
      </c>
      <c r="F43" s="10">
        <v>1123</v>
      </c>
      <c r="G43" s="6" t="s">
        <v>12</v>
      </c>
      <c r="H43" s="8">
        <f t="shared" si="3"/>
        <v>365446</v>
      </c>
      <c r="I43" s="9">
        <f t="shared" si="3"/>
        <v>18729</v>
      </c>
    </row>
    <row r="44" spans="1:9">
      <c r="A44" s="5">
        <v>45698</v>
      </c>
      <c r="B44" s="6" t="s">
        <v>27</v>
      </c>
      <c r="C44" s="27">
        <v>395</v>
      </c>
      <c r="D44" s="6">
        <v>5</v>
      </c>
      <c r="E44" s="7">
        <f t="shared" si="0"/>
        <v>79</v>
      </c>
      <c r="F44" s="10">
        <v>1072</v>
      </c>
      <c r="G44" s="6" t="s">
        <v>10</v>
      </c>
      <c r="H44" s="8">
        <f t="shared" si="3"/>
        <v>365841</v>
      </c>
      <c r="I44" s="9">
        <f t="shared" si="3"/>
        <v>18734</v>
      </c>
    </row>
    <row r="45" spans="1:9">
      <c r="A45" s="5">
        <v>45699</v>
      </c>
      <c r="B45" s="6" t="s">
        <v>27</v>
      </c>
      <c r="C45" s="27">
        <v>1583</v>
      </c>
      <c r="D45" s="6">
        <v>14</v>
      </c>
      <c r="E45" s="7">
        <f t="shared" si="0"/>
        <v>113.07142857142857</v>
      </c>
      <c r="F45" s="10">
        <v>1072</v>
      </c>
      <c r="G45" s="6" t="s">
        <v>10</v>
      </c>
      <c r="H45" s="8">
        <f t="shared" si="3"/>
        <v>367424</v>
      </c>
      <c r="I45" s="9">
        <f t="shared" si="3"/>
        <v>18748</v>
      </c>
    </row>
    <row r="46" spans="1:9">
      <c r="A46" s="5">
        <v>45699</v>
      </c>
      <c r="B46" s="6" t="s">
        <v>28</v>
      </c>
      <c r="C46" s="27">
        <v>10088</v>
      </c>
      <c r="D46" s="6">
        <v>65</v>
      </c>
      <c r="E46" s="7">
        <f t="shared" si="0"/>
        <v>155.19999999999999</v>
      </c>
      <c r="F46" s="10">
        <v>1123</v>
      </c>
      <c r="G46" s="6" t="s">
        <v>12</v>
      </c>
      <c r="H46" s="8">
        <f t="shared" si="3"/>
        <v>377512</v>
      </c>
      <c r="I46" s="9">
        <f t="shared" si="3"/>
        <v>18813</v>
      </c>
    </row>
    <row r="47" spans="1:9">
      <c r="A47" s="5">
        <v>45699</v>
      </c>
      <c r="B47" s="6" t="s">
        <v>28</v>
      </c>
      <c r="C47" s="27">
        <v>8379</v>
      </c>
      <c r="D47" s="6">
        <v>56</v>
      </c>
      <c r="E47" s="7">
        <f t="shared" si="0"/>
        <v>149.625</v>
      </c>
      <c r="F47" s="10">
        <v>1072</v>
      </c>
      <c r="G47" s="6" t="s">
        <v>10</v>
      </c>
      <c r="H47" s="8">
        <f t="shared" si="3"/>
        <v>385891</v>
      </c>
      <c r="I47" s="9">
        <f t="shared" si="3"/>
        <v>18869</v>
      </c>
    </row>
    <row r="48" spans="1:9">
      <c r="A48" s="5">
        <v>45700</v>
      </c>
      <c r="B48" s="6" t="s">
        <v>28</v>
      </c>
      <c r="C48" s="27">
        <v>960</v>
      </c>
      <c r="D48" s="6">
        <v>21</v>
      </c>
      <c r="E48" s="7">
        <f t="shared" si="0"/>
        <v>45.714285714285715</v>
      </c>
      <c r="F48" s="10">
        <v>1072</v>
      </c>
      <c r="G48" s="6" t="s">
        <v>10</v>
      </c>
      <c r="H48" s="8">
        <f t="shared" si="3"/>
        <v>386851</v>
      </c>
      <c r="I48" s="9">
        <f t="shared" si="3"/>
        <v>18890</v>
      </c>
    </row>
    <row r="49" spans="1:9">
      <c r="A49" s="5">
        <v>45700</v>
      </c>
      <c r="B49" s="6" t="s">
        <v>28</v>
      </c>
      <c r="C49" s="27">
        <v>3590</v>
      </c>
      <c r="D49" s="6">
        <v>82</v>
      </c>
      <c r="E49" s="7">
        <f t="shared" si="0"/>
        <v>43.780487804878049</v>
      </c>
      <c r="F49" s="10">
        <v>1123</v>
      </c>
      <c r="G49" s="6" t="s">
        <v>12</v>
      </c>
      <c r="H49" s="8">
        <f t="shared" si="3"/>
        <v>390441</v>
      </c>
      <c r="I49" s="9">
        <f t="shared" si="3"/>
        <v>18972</v>
      </c>
    </row>
    <row r="50" spans="1:9">
      <c r="A50" s="5">
        <v>45701</v>
      </c>
      <c r="B50" s="6" t="s">
        <v>29</v>
      </c>
      <c r="C50" s="27">
        <v>5641</v>
      </c>
      <c r="D50" s="6">
        <v>52</v>
      </c>
      <c r="E50" s="7">
        <f t="shared" si="0"/>
        <v>108.48076923076923</v>
      </c>
      <c r="F50" s="10">
        <v>1123</v>
      </c>
      <c r="G50" s="6" t="s">
        <v>12</v>
      </c>
      <c r="H50" s="8">
        <f t="shared" si="3"/>
        <v>396082</v>
      </c>
      <c r="I50" s="9">
        <f t="shared" si="3"/>
        <v>19024</v>
      </c>
    </row>
    <row r="51" spans="1:9">
      <c r="A51" s="5">
        <v>45701</v>
      </c>
      <c r="B51" s="6" t="s">
        <v>29</v>
      </c>
      <c r="C51" s="27">
        <v>9636</v>
      </c>
      <c r="D51" s="6">
        <v>80</v>
      </c>
      <c r="E51" s="7">
        <f t="shared" si="0"/>
        <v>120.45</v>
      </c>
      <c r="F51" s="10">
        <v>1072</v>
      </c>
      <c r="G51" s="6" t="s">
        <v>10</v>
      </c>
      <c r="H51" s="8">
        <f t="shared" ref="H51:I66" si="4">H50+C51</f>
        <v>405718</v>
      </c>
      <c r="I51" s="9">
        <f t="shared" si="4"/>
        <v>19104</v>
      </c>
    </row>
    <row r="52" spans="1:9">
      <c r="A52" s="5">
        <v>45703</v>
      </c>
      <c r="B52" s="6" t="s">
        <v>30</v>
      </c>
      <c r="C52" s="27">
        <v>5695</v>
      </c>
      <c r="D52" s="6">
        <v>42</v>
      </c>
      <c r="E52" s="7">
        <f t="shared" si="0"/>
        <v>135.5952380952381</v>
      </c>
      <c r="F52" s="10">
        <v>1072</v>
      </c>
      <c r="G52" s="6" t="s">
        <v>10</v>
      </c>
      <c r="H52" s="8">
        <f t="shared" si="4"/>
        <v>411413</v>
      </c>
      <c r="I52" s="9">
        <f t="shared" si="4"/>
        <v>19146</v>
      </c>
    </row>
    <row r="53" spans="1:9">
      <c r="A53" s="5">
        <v>45705</v>
      </c>
      <c r="B53" s="6" t="s">
        <v>30</v>
      </c>
      <c r="C53" s="27">
        <v>13781</v>
      </c>
      <c r="D53" s="6">
        <v>101</v>
      </c>
      <c r="E53" s="7">
        <f t="shared" si="0"/>
        <v>136.44554455445544</v>
      </c>
      <c r="F53" s="10">
        <v>1072</v>
      </c>
      <c r="G53" s="6" t="s">
        <v>10</v>
      </c>
      <c r="H53" s="8">
        <f t="shared" si="4"/>
        <v>425194</v>
      </c>
      <c r="I53" s="9">
        <f t="shared" si="4"/>
        <v>19247</v>
      </c>
    </row>
    <row r="54" spans="1:9">
      <c r="A54" s="5">
        <v>45705</v>
      </c>
      <c r="B54" s="6" t="s">
        <v>30</v>
      </c>
      <c r="C54" s="27">
        <v>10420</v>
      </c>
      <c r="D54" s="6">
        <v>69</v>
      </c>
      <c r="E54" s="7">
        <f t="shared" si="0"/>
        <v>151.01449275362319</v>
      </c>
      <c r="F54" s="10">
        <v>1123</v>
      </c>
      <c r="G54" s="6" t="s">
        <v>12</v>
      </c>
      <c r="H54" s="8">
        <f t="shared" si="4"/>
        <v>435614</v>
      </c>
      <c r="I54" s="9">
        <f t="shared" si="4"/>
        <v>19316</v>
      </c>
    </row>
    <row r="55" spans="1:9">
      <c r="A55" s="5">
        <v>45707</v>
      </c>
      <c r="B55" s="6" t="s">
        <v>31</v>
      </c>
      <c r="C55" s="27">
        <v>11658</v>
      </c>
      <c r="D55" s="6">
        <v>69</v>
      </c>
      <c r="E55" s="7">
        <f t="shared" si="0"/>
        <v>168.95652173913044</v>
      </c>
      <c r="F55" s="10">
        <v>1072</v>
      </c>
      <c r="G55" s="6" t="s">
        <v>10</v>
      </c>
      <c r="H55" s="8">
        <f t="shared" si="4"/>
        <v>447272</v>
      </c>
      <c r="I55" s="9">
        <f t="shared" si="4"/>
        <v>19385</v>
      </c>
    </row>
    <row r="56" spans="1:9">
      <c r="A56" s="5">
        <v>45707</v>
      </c>
      <c r="B56" s="6" t="s">
        <v>31</v>
      </c>
      <c r="C56" s="27">
        <v>7639</v>
      </c>
      <c r="D56" s="6">
        <v>44</v>
      </c>
      <c r="E56" s="7">
        <f t="shared" si="0"/>
        <v>173.61363636363637</v>
      </c>
      <c r="F56" s="10">
        <v>1123</v>
      </c>
      <c r="G56" s="6" t="s">
        <v>12</v>
      </c>
      <c r="H56" s="8">
        <f t="shared" si="4"/>
        <v>454911</v>
      </c>
      <c r="I56" s="9">
        <f t="shared" si="4"/>
        <v>19429</v>
      </c>
    </row>
    <row r="57" spans="1:9">
      <c r="A57" s="5">
        <v>45707</v>
      </c>
      <c r="B57" s="6" t="s">
        <v>32</v>
      </c>
      <c r="C57" s="27">
        <v>2929</v>
      </c>
      <c r="D57" s="6">
        <v>23</v>
      </c>
      <c r="E57" s="7">
        <f t="shared" si="0"/>
        <v>127.34782608695652</v>
      </c>
      <c r="F57" s="10">
        <v>1123</v>
      </c>
      <c r="G57" s="6" t="s">
        <v>12</v>
      </c>
      <c r="H57" s="8">
        <f t="shared" si="4"/>
        <v>457840</v>
      </c>
      <c r="I57" s="9">
        <f t="shared" si="4"/>
        <v>19452</v>
      </c>
    </row>
    <row r="58" spans="1:9">
      <c r="A58" s="5">
        <v>45707</v>
      </c>
      <c r="B58" s="6" t="s">
        <v>32</v>
      </c>
      <c r="C58" s="27">
        <v>5284</v>
      </c>
      <c r="D58" s="6">
        <v>44</v>
      </c>
      <c r="E58" s="7">
        <f t="shared" si="0"/>
        <v>120.09090909090909</v>
      </c>
      <c r="F58" s="10">
        <v>1072</v>
      </c>
      <c r="G58" s="6" t="s">
        <v>10</v>
      </c>
      <c r="H58" s="8">
        <f t="shared" si="4"/>
        <v>463124</v>
      </c>
      <c r="I58" s="9">
        <f t="shared" si="4"/>
        <v>19496</v>
      </c>
    </row>
    <row r="59" spans="1:9">
      <c r="A59" s="5">
        <v>45708</v>
      </c>
      <c r="B59" s="6" t="s">
        <v>32</v>
      </c>
      <c r="C59" s="27">
        <v>10659</v>
      </c>
      <c r="D59" s="6">
        <v>95</v>
      </c>
      <c r="E59" s="7">
        <f t="shared" si="0"/>
        <v>112.2</v>
      </c>
      <c r="F59" s="10">
        <v>1123</v>
      </c>
      <c r="G59" s="6" t="s">
        <v>12</v>
      </c>
      <c r="H59" s="8">
        <f t="shared" si="4"/>
        <v>473783</v>
      </c>
      <c r="I59" s="9">
        <f t="shared" si="4"/>
        <v>19591</v>
      </c>
    </row>
    <row r="60" spans="1:9">
      <c r="A60" s="5">
        <v>45708</v>
      </c>
      <c r="B60" s="6" t="s">
        <v>32</v>
      </c>
      <c r="C60" s="27">
        <v>4011</v>
      </c>
      <c r="D60" s="6">
        <v>37</v>
      </c>
      <c r="E60" s="7">
        <f t="shared" si="0"/>
        <v>108.4054054054054</v>
      </c>
      <c r="F60" s="10">
        <v>1072</v>
      </c>
      <c r="G60" s="6" t="s">
        <v>10</v>
      </c>
      <c r="H60" s="8">
        <f t="shared" si="4"/>
        <v>477794</v>
      </c>
      <c r="I60" s="9">
        <f t="shared" si="4"/>
        <v>19628</v>
      </c>
    </row>
    <row r="61" spans="1:9">
      <c r="A61" s="5">
        <v>45708</v>
      </c>
      <c r="B61" s="6" t="s">
        <v>32</v>
      </c>
      <c r="C61" s="27">
        <v>2997</v>
      </c>
      <c r="D61" s="6">
        <v>25</v>
      </c>
      <c r="E61" s="7">
        <f t="shared" si="0"/>
        <v>119.88</v>
      </c>
      <c r="F61" s="10">
        <v>1072</v>
      </c>
      <c r="G61" s="6" t="s">
        <v>10</v>
      </c>
      <c r="H61" s="8">
        <f t="shared" si="4"/>
        <v>480791</v>
      </c>
      <c r="I61" s="9">
        <f t="shared" si="4"/>
        <v>19653</v>
      </c>
    </row>
    <row r="62" spans="1:9">
      <c r="A62" s="5">
        <v>45708</v>
      </c>
      <c r="B62" s="6" t="s">
        <v>33</v>
      </c>
      <c r="C62" s="27">
        <v>4025</v>
      </c>
      <c r="D62" s="6">
        <v>42</v>
      </c>
      <c r="E62" s="7">
        <f t="shared" si="0"/>
        <v>95.833333333333329</v>
      </c>
      <c r="F62" s="10">
        <v>1072</v>
      </c>
      <c r="G62" s="6" t="s">
        <v>10</v>
      </c>
      <c r="H62" s="8">
        <f t="shared" si="4"/>
        <v>484816</v>
      </c>
      <c r="I62" s="9">
        <f t="shared" si="4"/>
        <v>19695</v>
      </c>
    </row>
    <row r="63" spans="1:9">
      <c r="A63" s="5">
        <v>45709</v>
      </c>
      <c r="B63" s="6" t="s">
        <v>34</v>
      </c>
      <c r="C63" s="27">
        <v>3463</v>
      </c>
      <c r="D63" s="6">
        <v>26</v>
      </c>
      <c r="E63" s="7">
        <f t="shared" si="0"/>
        <v>133.19230769230768</v>
      </c>
      <c r="F63" s="10">
        <v>1072</v>
      </c>
      <c r="G63" s="6" t="s">
        <v>10</v>
      </c>
      <c r="H63" s="8">
        <f t="shared" si="4"/>
        <v>488279</v>
      </c>
      <c r="I63" s="9">
        <f t="shared" si="4"/>
        <v>19721</v>
      </c>
    </row>
    <row r="64" spans="1:9">
      <c r="A64" s="5">
        <v>45710</v>
      </c>
      <c r="B64" s="6" t="s">
        <v>34</v>
      </c>
      <c r="C64" s="27">
        <v>8221</v>
      </c>
      <c r="D64" s="6">
        <v>59</v>
      </c>
      <c r="E64" s="7">
        <f t="shared" si="0"/>
        <v>139.33898305084745</v>
      </c>
      <c r="F64" s="10">
        <v>1123</v>
      </c>
      <c r="G64" s="6" t="s">
        <v>12</v>
      </c>
      <c r="H64" s="8">
        <f t="shared" si="4"/>
        <v>496500</v>
      </c>
      <c r="I64" s="9">
        <f t="shared" si="4"/>
        <v>19780</v>
      </c>
    </row>
    <row r="65" spans="1:9">
      <c r="A65" s="5">
        <v>45710</v>
      </c>
      <c r="B65" s="6" t="s">
        <v>34</v>
      </c>
      <c r="C65" s="27">
        <v>6543</v>
      </c>
      <c r="D65" s="6">
        <v>49</v>
      </c>
      <c r="E65" s="7">
        <f t="shared" si="0"/>
        <v>133.53061224489795</v>
      </c>
      <c r="F65" s="10">
        <v>1072</v>
      </c>
      <c r="G65" s="6" t="s">
        <v>10</v>
      </c>
      <c r="H65" s="8">
        <f t="shared" si="4"/>
        <v>503043</v>
      </c>
      <c r="I65" s="9">
        <f t="shared" si="4"/>
        <v>19829</v>
      </c>
    </row>
    <row r="66" spans="1:9">
      <c r="A66" s="5">
        <v>45712</v>
      </c>
      <c r="B66" s="6" t="s">
        <v>34</v>
      </c>
      <c r="C66" s="27">
        <v>10397</v>
      </c>
      <c r="D66" s="6">
        <v>76</v>
      </c>
      <c r="E66" s="7">
        <f t="shared" ref="E66:E129" si="5">IF(D66&gt;0,(C66/D66),"*")</f>
        <v>136.80263157894737</v>
      </c>
      <c r="F66" s="10">
        <v>1123</v>
      </c>
      <c r="G66" s="6" t="s">
        <v>12</v>
      </c>
      <c r="H66" s="8">
        <f t="shared" si="4"/>
        <v>513440</v>
      </c>
      <c r="I66" s="9">
        <f t="shared" si="4"/>
        <v>19905</v>
      </c>
    </row>
    <row r="67" spans="1:9">
      <c r="A67" s="5">
        <v>45712</v>
      </c>
      <c r="B67" s="6" t="s">
        <v>34</v>
      </c>
      <c r="C67" s="27">
        <v>12044</v>
      </c>
      <c r="D67" s="6">
        <v>90</v>
      </c>
      <c r="E67" s="7">
        <f t="shared" si="5"/>
        <v>133.82222222222222</v>
      </c>
      <c r="F67" s="10">
        <v>1072</v>
      </c>
      <c r="G67" s="6" t="s">
        <v>10</v>
      </c>
      <c r="H67" s="8">
        <f t="shared" ref="H67:I82" si="6">H66+C67</f>
        <v>525484</v>
      </c>
      <c r="I67" s="9">
        <f t="shared" si="6"/>
        <v>19995</v>
      </c>
    </row>
    <row r="68" spans="1:9">
      <c r="A68" s="5">
        <v>45713</v>
      </c>
      <c r="B68" s="6" t="s">
        <v>35</v>
      </c>
      <c r="C68" s="27">
        <v>2283</v>
      </c>
      <c r="D68" s="6">
        <v>21</v>
      </c>
      <c r="E68" s="7">
        <f t="shared" si="5"/>
        <v>108.71428571428571</v>
      </c>
      <c r="F68" s="10">
        <v>1072</v>
      </c>
      <c r="G68" s="6" t="s">
        <v>10</v>
      </c>
      <c r="H68" s="8">
        <f t="shared" si="6"/>
        <v>527767</v>
      </c>
      <c r="I68" s="9">
        <f t="shared" si="6"/>
        <v>20016</v>
      </c>
    </row>
    <row r="69" spans="1:9">
      <c r="A69" s="5">
        <v>45713</v>
      </c>
      <c r="B69" s="6" t="s">
        <v>35</v>
      </c>
      <c r="C69" s="27">
        <v>3801</v>
      </c>
      <c r="D69" s="6">
        <v>45</v>
      </c>
      <c r="E69" s="7">
        <f t="shared" si="5"/>
        <v>84.466666666666669</v>
      </c>
      <c r="F69" s="10">
        <v>1123</v>
      </c>
      <c r="G69" s="6" t="s">
        <v>12</v>
      </c>
      <c r="H69" s="8">
        <f t="shared" si="6"/>
        <v>531568</v>
      </c>
      <c r="I69" s="9">
        <f t="shared" si="6"/>
        <v>20061</v>
      </c>
    </row>
    <row r="70" spans="1:9">
      <c r="A70" s="5">
        <v>45713</v>
      </c>
      <c r="B70" s="6" t="s">
        <v>36</v>
      </c>
      <c r="C70" s="27">
        <v>8235</v>
      </c>
      <c r="D70" s="6">
        <v>72</v>
      </c>
      <c r="E70" s="7">
        <f t="shared" si="5"/>
        <v>114.375</v>
      </c>
      <c r="F70" s="10">
        <v>1123</v>
      </c>
      <c r="G70" s="6" t="s">
        <v>12</v>
      </c>
      <c r="H70" s="8">
        <f t="shared" si="6"/>
        <v>539803</v>
      </c>
      <c r="I70" s="9">
        <f t="shared" si="6"/>
        <v>20133</v>
      </c>
    </row>
    <row r="71" spans="1:9">
      <c r="A71" s="5">
        <v>45714</v>
      </c>
      <c r="B71" s="6" t="s">
        <v>36</v>
      </c>
      <c r="C71" s="27">
        <v>11167</v>
      </c>
      <c r="D71" s="11">
        <v>104</v>
      </c>
      <c r="E71" s="7">
        <f t="shared" si="5"/>
        <v>107.375</v>
      </c>
      <c r="F71" s="10">
        <v>1072</v>
      </c>
      <c r="G71" s="6" t="s">
        <v>12</v>
      </c>
      <c r="H71" s="8">
        <f t="shared" si="6"/>
        <v>550970</v>
      </c>
      <c r="I71" s="9">
        <f t="shared" si="6"/>
        <v>20237</v>
      </c>
    </row>
    <row r="72" spans="1:9">
      <c r="A72" s="5">
        <v>45714</v>
      </c>
      <c r="B72" s="6" t="s">
        <v>36</v>
      </c>
      <c r="C72" s="27">
        <v>10427</v>
      </c>
      <c r="D72" s="6">
        <v>91</v>
      </c>
      <c r="E72" s="7">
        <f t="shared" si="5"/>
        <v>114.58241758241758</v>
      </c>
      <c r="F72" s="10">
        <v>1123</v>
      </c>
      <c r="G72" s="6" t="s">
        <v>12</v>
      </c>
      <c r="H72" s="8">
        <f t="shared" si="6"/>
        <v>561397</v>
      </c>
      <c r="I72" s="9">
        <f t="shared" si="6"/>
        <v>20328</v>
      </c>
    </row>
    <row r="73" spans="1:9">
      <c r="A73" s="5">
        <v>45714</v>
      </c>
      <c r="B73" s="6" t="s">
        <v>36</v>
      </c>
      <c r="C73" s="27">
        <v>6715</v>
      </c>
      <c r="D73" s="6">
        <v>48</v>
      </c>
      <c r="E73" s="7">
        <f t="shared" si="5"/>
        <v>139.89583333333334</v>
      </c>
      <c r="F73" s="10">
        <v>1072</v>
      </c>
      <c r="G73" s="6" t="s">
        <v>10</v>
      </c>
      <c r="H73" s="8">
        <f t="shared" si="6"/>
        <v>568112</v>
      </c>
      <c r="I73" s="9">
        <f t="shared" si="6"/>
        <v>20376</v>
      </c>
    </row>
    <row r="74" spans="1:9">
      <c r="A74" s="5">
        <v>45715</v>
      </c>
      <c r="B74" s="6" t="s">
        <v>36</v>
      </c>
      <c r="C74" s="27">
        <v>8081</v>
      </c>
      <c r="D74" s="6">
        <v>64</v>
      </c>
      <c r="E74" s="7">
        <f t="shared" si="5"/>
        <v>126.265625</v>
      </c>
      <c r="F74" s="10">
        <v>1123</v>
      </c>
      <c r="G74" s="6" t="s">
        <v>12</v>
      </c>
      <c r="H74" s="8">
        <f t="shared" si="6"/>
        <v>576193</v>
      </c>
      <c r="I74" s="9">
        <f t="shared" si="6"/>
        <v>20440</v>
      </c>
    </row>
    <row r="75" spans="1:9">
      <c r="A75" s="5">
        <v>45716</v>
      </c>
      <c r="B75" s="6" t="s">
        <v>37</v>
      </c>
      <c r="C75" s="27">
        <v>6804</v>
      </c>
      <c r="D75" s="6">
        <v>54</v>
      </c>
      <c r="E75" s="7">
        <f t="shared" si="5"/>
        <v>126</v>
      </c>
      <c r="F75" s="10">
        <v>1123</v>
      </c>
      <c r="G75" s="6" t="s">
        <v>12</v>
      </c>
      <c r="H75" s="8">
        <f t="shared" si="6"/>
        <v>582997</v>
      </c>
      <c r="I75" s="9">
        <f t="shared" si="6"/>
        <v>20494</v>
      </c>
    </row>
    <row r="76" spans="1:9">
      <c r="A76" s="5">
        <v>45716</v>
      </c>
      <c r="B76" s="6" t="s">
        <v>37</v>
      </c>
      <c r="C76" s="27">
        <v>5401</v>
      </c>
      <c r="D76" s="6">
        <v>44</v>
      </c>
      <c r="E76" s="7">
        <f t="shared" si="5"/>
        <v>122.75</v>
      </c>
      <c r="F76" s="10">
        <v>1072</v>
      </c>
      <c r="G76" s="6" t="s">
        <v>10</v>
      </c>
      <c r="H76" s="8">
        <f t="shared" si="6"/>
        <v>588398</v>
      </c>
      <c r="I76" s="9">
        <f t="shared" si="6"/>
        <v>20538</v>
      </c>
    </row>
    <row r="77" spans="1:9">
      <c r="A77" s="5">
        <v>45717</v>
      </c>
      <c r="B77" s="6" t="s">
        <v>37</v>
      </c>
      <c r="C77" s="27">
        <v>5108</v>
      </c>
      <c r="D77" s="6">
        <v>41</v>
      </c>
      <c r="E77" s="7">
        <f t="shared" si="5"/>
        <v>124.58536585365853</v>
      </c>
      <c r="F77" s="10">
        <v>1123</v>
      </c>
      <c r="G77" s="6" t="s">
        <v>12</v>
      </c>
      <c r="H77" s="8">
        <f t="shared" si="6"/>
        <v>593506</v>
      </c>
      <c r="I77" s="9">
        <f t="shared" si="6"/>
        <v>20579</v>
      </c>
    </row>
    <row r="78" spans="1:9">
      <c r="A78" s="5">
        <v>45719</v>
      </c>
      <c r="B78" s="6" t="s">
        <v>38</v>
      </c>
      <c r="C78" s="27">
        <v>9614</v>
      </c>
      <c r="D78" s="6">
        <v>70</v>
      </c>
      <c r="E78" s="7">
        <f t="shared" si="5"/>
        <v>137.34285714285716</v>
      </c>
      <c r="F78" s="10">
        <v>1123</v>
      </c>
      <c r="G78" s="6" t="s">
        <v>12</v>
      </c>
      <c r="H78" s="8">
        <f t="shared" si="6"/>
        <v>603120</v>
      </c>
      <c r="I78" s="9">
        <f t="shared" si="6"/>
        <v>20649</v>
      </c>
    </row>
    <row r="79" spans="1:9">
      <c r="A79" s="5">
        <v>45719</v>
      </c>
      <c r="B79" s="6" t="s">
        <v>38</v>
      </c>
      <c r="C79" s="27">
        <v>7887</v>
      </c>
      <c r="D79" s="6">
        <v>82</v>
      </c>
      <c r="E79" s="7">
        <f t="shared" si="5"/>
        <v>96.182926829268297</v>
      </c>
      <c r="F79" s="10">
        <v>1123</v>
      </c>
      <c r="G79" s="6" t="s">
        <v>12</v>
      </c>
      <c r="H79" s="8">
        <f t="shared" si="6"/>
        <v>611007</v>
      </c>
      <c r="I79" s="9">
        <f t="shared" si="6"/>
        <v>20731</v>
      </c>
    </row>
    <row r="80" spans="1:9">
      <c r="A80" s="5">
        <v>45719</v>
      </c>
      <c r="B80" s="6" t="s">
        <v>38</v>
      </c>
      <c r="C80" s="27">
        <v>6212</v>
      </c>
      <c r="D80" s="6">
        <v>64</v>
      </c>
      <c r="E80" s="7">
        <f t="shared" si="5"/>
        <v>97.0625</v>
      </c>
      <c r="F80" s="10">
        <v>1072</v>
      </c>
      <c r="G80" s="10" t="s">
        <v>10</v>
      </c>
      <c r="H80" s="8">
        <f t="shared" si="6"/>
        <v>617219</v>
      </c>
      <c r="I80" s="9">
        <f t="shared" si="6"/>
        <v>20795</v>
      </c>
    </row>
    <row r="81" spans="1:9">
      <c r="A81" s="5">
        <v>45720</v>
      </c>
      <c r="B81" s="6" t="s">
        <v>38</v>
      </c>
      <c r="C81" s="27">
        <v>10460</v>
      </c>
      <c r="D81" s="6">
        <v>71</v>
      </c>
      <c r="E81" s="7">
        <f t="shared" si="5"/>
        <v>147.32394366197184</v>
      </c>
      <c r="F81" s="10">
        <v>1123</v>
      </c>
      <c r="G81" s="6" t="s">
        <v>12</v>
      </c>
      <c r="H81" s="8">
        <f t="shared" si="6"/>
        <v>627679</v>
      </c>
      <c r="I81" s="9">
        <f t="shared" si="6"/>
        <v>20866</v>
      </c>
    </row>
    <row r="82" spans="1:9">
      <c r="A82" s="5">
        <v>45720</v>
      </c>
      <c r="B82" s="6" t="s">
        <v>38</v>
      </c>
      <c r="C82" s="27">
        <v>2986</v>
      </c>
      <c r="D82" s="6">
        <v>76</v>
      </c>
      <c r="E82" s="7">
        <f t="shared" si="5"/>
        <v>39.289473684210527</v>
      </c>
      <c r="F82" s="10">
        <v>1072</v>
      </c>
      <c r="G82" s="10" t="s">
        <v>10</v>
      </c>
      <c r="H82" s="8">
        <f t="shared" si="6"/>
        <v>630665</v>
      </c>
      <c r="I82" s="9">
        <f t="shared" si="6"/>
        <v>20942</v>
      </c>
    </row>
    <row r="83" spans="1:9">
      <c r="A83" s="5">
        <v>45722</v>
      </c>
      <c r="B83" s="6" t="s">
        <v>39</v>
      </c>
      <c r="C83" s="27">
        <v>11425</v>
      </c>
      <c r="D83" s="6">
        <v>87</v>
      </c>
      <c r="E83" s="7">
        <f t="shared" si="5"/>
        <v>131.32183908045977</v>
      </c>
      <c r="F83" s="10">
        <v>1072</v>
      </c>
      <c r="G83" s="10" t="s">
        <v>10</v>
      </c>
      <c r="H83" s="8">
        <f t="shared" ref="H83:I98" si="7">H82+C83</f>
        <v>642090</v>
      </c>
      <c r="I83" s="9">
        <f t="shared" si="7"/>
        <v>21029</v>
      </c>
    </row>
    <row r="84" spans="1:9">
      <c r="A84" s="5">
        <v>45722</v>
      </c>
      <c r="B84" s="6" t="s">
        <v>39</v>
      </c>
      <c r="C84" s="27">
        <v>9431</v>
      </c>
      <c r="D84" s="6">
        <v>73</v>
      </c>
      <c r="E84" s="7">
        <f t="shared" si="5"/>
        <v>129.1917808219178</v>
      </c>
      <c r="F84" s="10">
        <v>1123</v>
      </c>
      <c r="G84" s="6" t="s">
        <v>12</v>
      </c>
      <c r="H84" s="8">
        <f t="shared" si="7"/>
        <v>651521</v>
      </c>
      <c r="I84" s="9">
        <f t="shared" si="7"/>
        <v>21102</v>
      </c>
    </row>
    <row r="85" spans="1:9">
      <c r="A85" s="5">
        <v>45722</v>
      </c>
      <c r="B85" s="6" t="s">
        <v>40</v>
      </c>
      <c r="C85" s="27">
        <v>2387</v>
      </c>
      <c r="D85" s="6">
        <v>46</v>
      </c>
      <c r="E85" s="7">
        <f t="shared" si="5"/>
        <v>51.891304347826086</v>
      </c>
      <c r="F85" s="10">
        <v>1123</v>
      </c>
      <c r="G85" s="10" t="s">
        <v>12</v>
      </c>
      <c r="H85" s="8">
        <f t="shared" si="7"/>
        <v>653908</v>
      </c>
      <c r="I85" s="9">
        <f t="shared" si="7"/>
        <v>21148</v>
      </c>
    </row>
    <row r="86" spans="1:9">
      <c r="A86" s="5">
        <v>45724</v>
      </c>
      <c r="B86" s="6" t="s">
        <v>41</v>
      </c>
      <c r="C86" s="27">
        <v>5223</v>
      </c>
      <c r="D86" s="6">
        <v>64</v>
      </c>
      <c r="E86" s="7">
        <f t="shared" si="5"/>
        <v>81.609375</v>
      </c>
      <c r="F86" s="10">
        <v>1123</v>
      </c>
      <c r="G86" s="10" t="s">
        <v>12</v>
      </c>
      <c r="H86" s="8">
        <f t="shared" si="7"/>
        <v>659131</v>
      </c>
      <c r="I86" s="9">
        <f t="shared" si="7"/>
        <v>21212</v>
      </c>
    </row>
    <row r="87" spans="1:9">
      <c r="A87" s="5">
        <v>45724</v>
      </c>
      <c r="B87" s="6" t="s">
        <v>41</v>
      </c>
      <c r="C87" s="27">
        <v>5870</v>
      </c>
      <c r="D87" s="6">
        <v>52</v>
      </c>
      <c r="E87" s="7">
        <f t="shared" si="5"/>
        <v>112.88461538461539</v>
      </c>
      <c r="F87" s="10">
        <v>1072</v>
      </c>
      <c r="G87" s="10" t="s">
        <v>10</v>
      </c>
      <c r="H87" s="8">
        <f t="shared" si="7"/>
        <v>665001</v>
      </c>
      <c r="I87" s="9">
        <f t="shared" si="7"/>
        <v>21264</v>
      </c>
    </row>
    <row r="88" spans="1:9">
      <c r="A88" s="5">
        <v>45726</v>
      </c>
      <c r="B88" s="6" t="s">
        <v>41</v>
      </c>
      <c r="C88" s="27">
        <v>9239</v>
      </c>
      <c r="D88" s="6">
        <v>63</v>
      </c>
      <c r="E88" s="7">
        <f t="shared" si="5"/>
        <v>146.65079365079364</v>
      </c>
      <c r="F88" s="10">
        <v>1123</v>
      </c>
      <c r="G88" s="10" t="s">
        <v>12</v>
      </c>
      <c r="H88" s="8">
        <f t="shared" si="7"/>
        <v>674240</v>
      </c>
      <c r="I88" s="9">
        <f t="shared" si="7"/>
        <v>21327</v>
      </c>
    </row>
    <row r="89" spans="1:9">
      <c r="A89" s="5">
        <v>45726</v>
      </c>
      <c r="B89" s="6" t="s">
        <v>41</v>
      </c>
      <c r="C89" s="27">
        <v>6094</v>
      </c>
      <c r="D89" s="6">
        <v>36</v>
      </c>
      <c r="E89" s="7">
        <f t="shared" si="5"/>
        <v>169.27777777777777</v>
      </c>
      <c r="F89" s="10">
        <v>1072</v>
      </c>
      <c r="G89" s="10" t="s">
        <v>10</v>
      </c>
      <c r="H89" s="8">
        <f t="shared" si="7"/>
        <v>680334</v>
      </c>
      <c r="I89" s="9">
        <f t="shared" si="7"/>
        <v>21363</v>
      </c>
    </row>
    <row r="90" spans="1:9">
      <c r="A90" s="5">
        <v>45726</v>
      </c>
      <c r="B90" s="6" t="s">
        <v>42</v>
      </c>
      <c r="C90" s="27">
        <v>5163</v>
      </c>
      <c r="D90" s="6">
        <v>37</v>
      </c>
      <c r="E90" s="7">
        <f t="shared" si="5"/>
        <v>139.54054054054055</v>
      </c>
      <c r="F90" s="10">
        <v>1072</v>
      </c>
      <c r="G90" s="10" t="s">
        <v>10</v>
      </c>
      <c r="H90" s="8">
        <f t="shared" si="7"/>
        <v>685497</v>
      </c>
      <c r="I90" s="9">
        <f t="shared" si="7"/>
        <v>21400</v>
      </c>
    </row>
    <row r="91" spans="1:9">
      <c r="A91" s="5">
        <v>45726</v>
      </c>
      <c r="B91" s="6" t="s">
        <v>42</v>
      </c>
      <c r="C91" s="27">
        <v>5672</v>
      </c>
      <c r="D91" s="6">
        <v>57</v>
      </c>
      <c r="E91" s="7">
        <f t="shared" si="5"/>
        <v>99.508771929824562</v>
      </c>
      <c r="F91" s="10">
        <v>1072</v>
      </c>
      <c r="G91" s="10" t="s">
        <v>10</v>
      </c>
      <c r="H91" s="8">
        <f t="shared" si="7"/>
        <v>691169</v>
      </c>
      <c r="I91" s="9">
        <f t="shared" si="7"/>
        <v>21457</v>
      </c>
    </row>
    <row r="92" spans="1:9">
      <c r="A92" s="5">
        <v>45726</v>
      </c>
      <c r="B92" s="6" t="s">
        <v>42</v>
      </c>
      <c r="C92" s="27">
        <v>5500</v>
      </c>
      <c r="D92" s="6">
        <v>56</v>
      </c>
      <c r="E92" s="7">
        <f t="shared" si="5"/>
        <v>98.214285714285708</v>
      </c>
      <c r="F92" s="10">
        <v>1123</v>
      </c>
      <c r="G92" s="10" t="s">
        <v>12</v>
      </c>
      <c r="H92" s="8">
        <f t="shared" si="7"/>
        <v>696669</v>
      </c>
      <c r="I92" s="9">
        <f t="shared" si="7"/>
        <v>21513</v>
      </c>
    </row>
    <row r="93" spans="1:9">
      <c r="A93" s="5">
        <v>45727</v>
      </c>
      <c r="B93" s="6" t="s">
        <v>43</v>
      </c>
      <c r="C93" s="27">
        <v>7127</v>
      </c>
      <c r="D93" s="6">
        <v>50</v>
      </c>
      <c r="E93" s="7">
        <f t="shared" si="5"/>
        <v>142.54</v>
      </c>
      <c r="F93" s="10">
        <v>1072</v>
      </c>
      <c r="G93" s="10" t="s">
        <v>10</v>
      </c>
      <c r="H93" s="8">
        <f t="shared" si="7"/>
        <v>703796</v>
      </c>
      <c r="I93" s="9">
        <f t="shared" si="7"/>
        <v>21563</v>
      </c>
    </row>
    <row r="94" spans="1:9">
      <c r="A94" s="5">
        <v>45728</v>
      </c>
      <c r="B94" s="6" t="s">
        <v>44</v>
      </c>
      <c r="C94" s="27">
        <v>3495</v>
      </c>
      <c r="D94" s="6">
        <v>30</v>
      </c>
      <c r="E94" s="7">
        <f t="shared" si="5"/>
        <v>116.5</v>
      </c>
      <c r="F94" s="10">
        <v>1072</v>
      </c>
      <c r="G94" s="10" t="s">
        <v>10</v>
      </c>
      <c r="H94" s="8">
        <f t="shared" si="7"/>
        <v>707291</v>
      </c>
      <c r="I94" s="9">
        <f t="shared" si="7"/>
        <v>21593</v>
      </c>
    </row>
    <row r="95" spans="1:9">
      <c r="A95" s="5">
        <v>45729</v>
      </c>
      <c r="B95" s="6" t="s">
        <v>45</v>
      </c>
      <c r="C95" s="27">
        <v>21532</v>
      </c>
      <c r="D95" s="6">
        <v>244</v>
      </c>
      <c r="E95" s="7">
        <f t="shared" si="5"/>
        <v>88.245901639344268</v>
      </c>
      <c r="F95" s="10">
        <v>1072</v>
      </c>
      <c r="G95" s="10" t="s">
        <v>10</v>
      </c>
      <c r="H95" s="8">
        <f t="shared" si="7"/>
        <v>728823</v>
      </c>
      <c r="I95" s="9">
        <f t="shared" si="7"/>
        <v>21837</v>
      </c>
    </row>
    <row r="96" spans="1:9">
      <c r="A96" s="5">
        <v>45730</v>
      </c>
      <c r="B96" s="6" t="s">
        <v>44</v>
      </c>
      <c r="C96" s="27">
        <v>537</v>
      </c>
      <c r="D96" s="6">
        <v>6</v>
      </c>
      <c r="E96" s="7">
        <f t="shared" si="5"/>
        <v>89.5</v>
      </c>
      <c r="F96" s="10">
        <v>1123</v>
      </c>
      <c r="G96" s="10" t="s">
        <v>12</v>
      </c>
      <c r="H96" s="8">
        <f t="shared" si="7"/>
        <v>729360</v>
      </c>
      <c r="I96" s="9">
        <f t="shared" si="7"/>
        <v>21843</v>
      </c>
    </row>
    <row r="97" spans="1:9">
      <c r="A97" s="5">
        <v>45730</v>
      </c>
      <c r="B97" s="6" t="s">
        <v>46</v>
      </c>
      <c r="C97" s="27">
        <v>8400</v>
      </c>
      <c r="D97" s="6">
        <v>72</v>
      </c>
      <c r="E97" s="7">
        <f t="shared" si="5"/>
        <v>116.66666666666667</v>
      </c>
      <c r="F97" s="10">
        <v>1072</v>
      </c>
      <c r="G97" s="10" t="s">
        <v>10</v>
      </c>
      <c r="H97" s="8">
        <f t="shared" si="7"/>
        <v>737760</v>
      </c>
      <c r="I97" s="9">
        <f t="shared" si="7"/>
        <v>21915</v>
      </c>
    </row>
    <row r="98" spans="1:9">
      <c r="A98" s="5">
        <v>45731</v>
      </c>
      <c r="B98" s="6" t="s">
        <v>46</v>
      </c>
      <c r="C98" s="27">
        <v>932</v>
      </c>
      <c r="D98" s="6">
        <v>10</v>
      </c>
      <c r="E98" s="7">
        <f t="shared" si="5"/>
        <v>93.2</v>
      </c>
      <c r="F98" s="10">
        <v>1123</v>
      </c>
      <c r="G98" s="10" t="s">
        <v>10</v>
      </c>
      <c r="H98" s="8">
        <f t="shared" si="7"/>
        <v>738692</v>
      </c>
      <c r="I98" s="9">
        <f t="shared" si="7"/>
        <v>21925</v>
      </c>
    </row>
    <row r="99" spans="1:9">
      <c r="A99" s="5">
        <v>45731</v>
      </c>
      <c r="B99" s="6" t="s">
        <v>46</v>
      </c>
      <c r="C99" s="27">
        <v>9670</v>
      </c>
      <c r="D99" s="6">
        <v>86</v>
      </c>
      <c r="E99" s="7">
        <f t="shared" si="5"/>
        <v>112.44186046511628</v>
      </c>
      <c r="F99" s="10">
        <v>1072</v>
      </c>
      <c r="G99" s="10" t="s">
        <v>47</v>
      </c>
      <c r="H99" s="8">
        <f t="shared" ref="H99:I114" si="8">H98+C99</f>
        <v>748362</v>
      </c>
      <c r="I99" s="9">
        <f t="shared" si="8"/>
        <v>22011</v>
      </c>
    </row>
    <row r="100" spans="1:9">
      <c r="A100" s="5">
        <v>45733</v>
      </c>
      <c r="B100" s="6" t="s">
        <v>48</v>
      </c>
      <c r="C100" s="27">
        <v>5830</v>
      </c>
      <c r="D100" s="6">
        <v>76</v>
      </c>
      <c r="E100" s="7">
        <f t="shared" si="5"/>
        <v>76.71052631578948</v>
      </c>
      <c r="F100" s="10">
        <v>1072</v>
      </c>
      <c r="G100" s="10" t="s">
        <v>10</v>
      </c>
      <c r="H100" s="8">
        <f t="shared" si="8"/>
        <v>754192</v>
      </c>
      <c r="I100" s="9">
        <f t="shared" si="8"/>
        <v>22087</v>
      </c>
    </row>
    <row r="101" spans="1:9">
      <c r="A101" s="5">
        <v>45734</v>
      </c>
      <c r="B101" s="6" t="s">
        <v>48</v>
      </c>
      <c r="C101" s="27">
        <v>12163</v>
      </c>
      <c r="D101" s="6">
        <v>151</v>
      </c>
      <c r="E101" s="7">
        <f t="shared" si="5"/>
        <v>80.549668874172184</v>
      </c>
      <c r="F101" s="10">
        <v>1072</v>
      </c>
      <c r="G101" s="10" t="s">
        <v>10</v>
      </c>
      <c r="H101" s="8">
        <f t="shared" si="8"/>
        <v>766355</v>
      </c>
      <c r="I101" s="9">
        <f t="shared" si="8"/>
        <v>22238</v>
      </c>
    </row>
    <row r="102" spans="1:9">
      <c r="A102" s="5">
        <v>45735</v>
      </c>
      <c r="B102" s="6" t="s">
        <v>49</v>
      </c>
      <c r="C102" s="27">
        <v>7082</v>
      </c>
      <c r="D102" s="6">
        <v>59</v>
      </c>
      <c r="E102" s="7">
        <f t="shared" si="5"/>
        <v>120.03389830508475</v>
      </c>
      <c r="F102" s="10">
        <v>1123</v>
      </c>
      <c r="G102" s="10" t="s">
        <v>12</v>
      </c>
      <c r="H102" s="8">
        <f t="shared" si="8"/>
        <v>773437</v>
      </c>
      <c r="I102" s="9">
        <f t="shared" si="8"/>
        <v>22297</v>
      </c>
    </row>
    <row r="103" spans="1:9">
      <c r="A103" s="5">
        <v>45736</v>
      </c>
      <c r="B103" s="6" t="s">
        <v>49</v>
      </c>
      <c r="C103" s="27">
        <v>9747</v>
      </c>
      <c r="D103" s="6">
        <v>66</v>
      </c>
      <c r="E103" s="7">
        <f t="shared" si="5"/>
        <v>147.68181818181819</v>
      </c>
      <c r="F103" s="10">
        <v>1123</v>
      </c>
      <c r="G103" s="10" t="s">
        <v>12</v>
      </c>
      <c r="H103" s="8">
        <f t="shared" si="8"/>
        <v>783184</v>
      </c>
      <c r="I103" s="9">
        <f t="shared" si="8"/>
        <v>22363</v>
      </c>
    </row>
    <row r="104" spans="1:9">
      <c r="A104" s="5">
        <v>45736</v>
      </c>
      <c r="B104" s="6" t="s">
        <v>49</v>
      </c>
      <c r="C104" s="27">
        <v>22295</v>
      </c>
      <c r="D104" s="6">
        <v>152</v>
      </c>
      <c r="E104" s="7">
        <f t="shared" si="5"/>
        <v>146.67763157894737</v>
      </c>
      <c r="F104" s="10">
        <v>1072</v>
      </c>
      <c r="G104" s="10" t="s">
        <v>10</v>
      </c>
      <c r="H104" s="8">
        <f t="shared" si="8"/>
        <v>805479</v>
      </c>
      <c r="I104" s="9">
        <f t="shared" si="8"/>
        <v>22515</v>
      </c>
    </row>
    <row r="105" spans="1:9">
      <c r="A105" s="5">
        <v>45737</v>
      </c>
      <c r="B105" s="6" t="s">
        <v>49</v>
      </c>
      <c r="C105" s="27">
        <v>1093</v>
      </c>
      <c r="D105" s="6">
        <v>9</v>
      </c>
      <c r="E105" s="7">
        <f t="shared" si="5"/>
        <v>121.44444444444444</v>
      </c>
      <c r="F105" s="10">
        <v>1072</v>
      </c>
      <c r="G105" s="10" t="s">
        <v>10</v>
      </c>
      <c r="H105" s="8">
        <f t="shared" si="8"/>
        <v>806572</v>
      </c>
      <c r="I105" s="9">
        <f t="shared" si="8"/>
        <v>22524</v>
      </c>
    </row>
    <row r="106" spans="1:9">
      <c r="A106" s="5">
        <v>45737</v>
      </c>
      <c r="B106" s="6" t="s">
        <v>49</v>
      </c>
      <c r="C106" s="27">
        <v>3830</v>
      </c>
      <c r="D106" s="6">
        <v>29</v>
      </c>
      <c r="E106" s="7">
        <f t="shared" si="5"/>
        <v>132.06896551724137</v>
      </c>
      <c r="F106" s="10">
        <v>1123</v>
      </c>
      <c r="G106" s="10" t="s">
        <v>12</v>
      </c>
      <c r="H106" s="8">
        <f t="shared" si="8"/>
        <v>810402</v>
      </c>
      <c r="I106" s="9">
        <f t="shared" si="8"/>
        <v>22553</v>
      </c>
    </row>
    <row r="107" spans="1:9">
      <c r="A107" s="5">
        <v>45738</v>
      </c>
      <c r="B107" s="6" t="s">
        <v>50</v>
      </c>
      <c r="C107" s="27">
        <v>5801</v>
      </c>
      <c r="D107" s="6">
        <v>41</v>
      </c>
      <c r="E107" s="7">
        <f t="shared" si="5"/>
        <v>141.48780487804879</v>
      </c>
      <c r="F107" s="10">
        <v>1123</v>
      </c>
      <c r="G107" s="10" t="s">
        <v>12</v>
      </c>
      <c r="H107" s="8">
        <f t="shared" si="8"/>
        <v>816203</v>
      </c>
      <c r="I107" s="9">
        <f t="shared" si="8"/>
        <v>22594</v>
      </c>
    </row>
    <row r="108" spans="1:9">
      <c r="A108" s="5">
        <v>45739</v>
      </c>
      <c r="B108" s="6" t="s">
        <v>50</v>
      </c>
      <c r="C108" s="27">
        <v>18103</v>
      </c>
      <c r="D108" s="6">
        <v>135</v>
      </c>
      <c r="E108" s="7">
        <f t="shared" si="5"/>
        <v>134.09629629629629</v>
      </c>
      <c r="F108" s="10">
        <v>1123</v>
      </c>
      <c r="G108" s="10" t="s">
        <v>12</v>
      </c>
      <c r="H108" s="8">
        <f t="shared" si="8"/>
        <v>834306</v>
      </c>
      <c r="I108" s="9">
        <f t="shared" si="8"/>
        <v>22729</v>
      </c>
    </row>
    <row r="109" spans="1:9">
      <c r="A109" s="5">
        <v>45739</v>
      </c>
      <c r="B109" s="6" t="s">
        <v>50</v>
      </c>
      <c r="C109" s="27">
        <v>12052</v>
      </c>
      <c r="D109" s="6">
        <v>86</v>
      </c>
      <c r="E109" s="7">
        <f t="shared" si="5"/>
        <v>140.13953488372093</v>
      </c>
      <c r="F109" s="10">
        <v>1072</v>
      </c>
      <c r="G109" s="10" t="s">
        <v>10</v>
      </c>
      <c r="H109" s="8">
        <f t="shared" si="8"/>
        <v>846358</v>
      </c>
      <c r="I109" s="9">
        <f t="shared" si="8"/>
        <v>22815</v>
      </c>
    </row>
    <row r="110" spans="1:9">
      <c r="A110" s="5">
        <v>45742</v>
      </c>
      <c r="B110" s="6" t="s">
        <v>51</v>
      </c>
      <c r="C110" s="27">
        <v>11360</v>
      </c>
      <c r="D110" s="6">
        <v>77</v>
      </c>
      <c r="E110" s="7">
        <f t="shared" si="5"/>
        <v>147.53246753246754</v>
      </c>
      <c r="F110" s="10">
        <v>1072</v>
      </c>
      <c r="G110" s="10" t="s">
        <v>10</v>
      </c>
      <c r="H110" s="8">
        <f t="shared" si="8"/>
        <v>857718</v>
      </c>
      <c r="I110" s="9">
        <f t="shared" si="8"/>
        <v>22892</v>
      </c>
    </row>
    <row r="111" spans="1:9">
      <c r="A111" s="5">
        <v>45742</v>
      </c>
      <c r="B111" s="6" t="s">
        <v>51</v>
      </c>
      <c r="C111" s="27">
        <v>5844</v>
      </c>
      <c r="D111" s="6">
        <v>39</v>
      </c>
      <c r="E111" s="7">
        <f t="shared" si="5"/>
        <v>149.84615384615384</v>
      </c>
      <c r="F111" s="10">
        <v>1123</v>
      </c>
      <c r="G111" s="10" t="s">
        <v>12</v>
      </c>
      <c r="H111" s="8">
        <f t="shared" si="8"/>
        <v>863562</v>
      </c>
      <c r="I111" s="9">
        <f t="shared" si="8"/>
        <v>22931</v>
      </c>
    </row>
    <row r="112" spans="1:9">
      <c r="A112" s="5">
        <v>45743</v>
      </c>
      <c r="B112" s="6" t="s">
        <v>51</v>
      </c>
      <c r="C112" s="27">
        <v>10547</v>
      </c>
      <c r="D112" s="6">
        <v>72</v>
      </c>
      <c r="E112" s="7">
        <f t="shared" si="5"/>
        <v>146.48611111111111</v>
      </c>
      <c r="F112" s="10">
        <v>1123</v>
      </c>
      <c r="G112" s="10" t="s">
        <v>12</v>
      </c>
      <c r="H112" s="8">
        <f t="shared" si="8"/>
        <v>874109</v>
      </c>
      <c r="I112" s="9">
        <f t="shared" si="8"/>
        <v>23003</v>
      </c>
    </row>
    <row r="113" spans="1:9">
      <c r="A113" s="5">
        <v>45743</v>
      </c>
      <c r="B113" s="6" t="s">
        <v>51</v>
      </c>
      <c r="C113" s="27">
        <v>19877</v>
      </c>
      <c r="D113" s="6">
        <v>133</v>
      </c>
      <c r="E113" s="7">
        <f t="shared" si="5"/>
        <v>149.45112781954887</v>
      </c>
      <c r="F113" s="10">
        <v>1072</v>
      </c>
      <c r="G113" s="10" t="s">
        <v>10</v>
      </c>
      <c r="H113" s="8">
        <f t="shared" si="8"/>
        <v>893986</v>
      </c>
      <c r="I113" s="9">
        <f t="shared" si="8"/>
        <v>23136</v>
      </c>
    </row>
    <row r="114" spans="1:9">
      <c r="A114" s="5">
        <v>45744</v>
      </c>
      <c r="B114" s="6" t="s">
        <v>52</v>
      </c>
      <c r="C114" s="27">
        <v>6128</v>
      </c>
      <c r="D114" s="6">
        <v>50</v>
      </c>
      <c r="E114" s="7">
        <f t="shared" si="5"/>
        <v>122.56</v>
      </c>
      <c r="F114" s="10">
        <v>1123</v>
      </c>
      <c r="G114" s="10" t="s">
        <v>47</v>
      </c>
      <c r="H114" s="8">
        <f t="shared" si="8"/>
        <v>900114</v>
      </c>
      <c r="I114" s="9">
        <f t="shared" si="8"/>
        <v>23186</v>
      </c>
    </row>
    <row r="115" spans="1:9">
      <c r="A115" s="5">
        <v>45747</v>
      </c>
      <c r="B115" s="6" t="s">
        <v>52</v>
      </c>
      <c r="C115" s="27">
        <v>9123</v>
      </c>
      <c r="D115" s="6">
        <v>58</v>
      </c>
      <c r="E115" s="7">
        <f t="shared" si="5"/>
        <v>157.29310344827587</v>
      </c>
      <c r="F115" s="10">
        <v>1123</v>
      </c>
      <c r="G115" s="10" t="s">
        <v>47</v>
      </c>
      <c r="H115" s="8">
        <f t="shared" ref="H115:I130" si="9">H114+C115</f>
        <v>909237</v>
      </c>
      <c r="I115" s="9">
        <f t="shared" si="9"/>
        <v>23244</v>
      </c>
    </row>
    <row r="116" spans="1:9">
      <c r="A116" s="5">
        <v>45747</v>
      </c>
      <c r="B116" s="6" t="s">
        <v>52</v>
      </c>
      <c r="C116" s="27">
        <v>13734</v>
      </c>
      <c r="D116" s="6">
        <v>129</v>
      </c>
      <c r="E116" s="7">
        <f t="shared" si="5"/>
        <v>106.46511627906976</v>
      </c>
      <c r="F116" s="10">
        <v>1072</v>
      </c>
      <c r="G116" s="10" t="s">
        <v>10</v>
      </c>
      <c r="H116" s="8">
        <f t="shared" si="9"/>
        <v>922971</v>
      </c>
      <c r="I116" s="9">
        <f t="shared" si="9"/>
        <v>23373</v>
      </c>
    </row>
    <row r="117" spans="1:9">
      <c r="A117" s="5">
        <v>45748</v>
      </c>
      <c r="B117" s="6" t="s">
        <v>52</v>
      </c>
      <c r="C117" s="27">
        <v>9962</v>
      </c>
      <c r="D117" s="6">
        <v>75</v>
      </c>
      <c r="E117" s="7">
        <f t="shared" si="5"/>
        <v>132.82666666666665</v>
      </c>
      <c r="F117" s="10">
        <v>1123</v>
      </c>
      <c r="G117" s="10" t="s">
        <v>12</v>
      </c>
      <c r="H117" s="8">
        <f t="shared" si="9"/>
        <v>932933</v>
      </c>
      <c r="I117" s="9">
        <f t="shared" si="9"/>
        <v>23448</v>
      </c>
    </row>
    <row r="118" spans="1:9">
      <c r="A118" s="5">
        <v>45748</v>
      </c>
      <c r="B118" s="6" t="s">
        <v>52</v>
      </c>
      <c r="C118" s="27">
        <v>6824</v>
      </c>
      <c r="D118" s="6">
        <v>46</v>
      </c>
      <c r="E118" s="7">
        <f t="shared" si="5"/>
        <v>148.34782608695653</v>
      </c>
      <c r="F118" s="10">
        <v>1072</v>
      </c>
      <c r="G118" s="10" t="s">
        <v>10</v>
      </c>
      <c r="H118" s="8">
        <f t="shared" si="9"/>
        <v>939757</v>
      </c>
      <c r="I118" s="9">
        <f t="shared" si="9"/>
        <v>23494</v>
      </c>
    </row>
    <row r="119" spans="1:9">
      <c r="A119" s="5">
        <v>45749</v>
      </c>
      <c r="B119" s="6" t="s">
        <v>53</v>
      </c>
      <c r="C119" s="27">
        <v>3572</v>
      </c>
      <c r="D119" s="6">
        <v>26</v>
      </c>
      <c r="E119" s="7">
        <f t="shared" si="5"/>
        <v>137.38461538461539</v>
      </c>
      <c r="F119" s="10">
        <v>1072</v>
      </c>
      <c r="G119" s="10" t="s">
        <v>10</v>
      </c>
      <c r="H119" s="8">
        <f t="shared" si="9"/>
        <v>943329</v>
      </c>
      <c r="I119" s="9">
        <f t="shared" si="9"/>
        <v>23520</v>
      </c>
    </row>
    <row r="120" spans="1:9">
      <c r="A120" s="5">
        <v>45749</v>
      </c>
      <c r="B120" s="6" t="s">
        <v>53</v>
      </c>
      <c r="C120" s="27">
        <v>7946</v>
      </c>
      <c r="D120" s="6">
        <v>61</v>
      </c>
      <c r="E120" s="7">
        <f t="shared" si="5"/>
        <v>130.26229508196721</v>
      </c>
      <c r="F120" s="10">
        <v>1123</v>
      </c>
      <c r="G120" s="10" t="s">
        <v>12</v>
      </c>
      <c r="H120" s="8">
        <f t="shared" si="9"/>
        <v>951275</v>
      </c>
      <c r="I120" s="9">
        <f t="shared" si="9"/>
        <v>23581</v>
      </c>
    </row>
    <row r="121" spans="1:9">
      <c r="A121" s="5">
        <v>45750</v>
      </c>
      <c r="B121" s="6" t="s">
        <v>53</v>
      </c>
      <c r="C121" s="27">
        <v>11812</v>
      </c>
      <c r="D121" s="6">
        <v>83</v>
      </c>
      <c r="E121" s="7">
        <f t="shared" si="5"/>
        <v>142.31325301204819</v>
      </c>
      <c r="F121" s="10">
        <v>1072</v>
      </c>
      <c r="G121" s="10" t="s">
        <v>10</v>
      </c>
      <c r="H121" s="8">
        <f t="shared" si="9"/>
        <v>963087</v>
      </c>
      <c r="I121" s="9">
        <f t="shared" si="9"/>
        <v>23664</v>
      </c>
    </row>
    <row r="122" spans="1:9">
      <c r="A122" s="5">
        <v>45750</v>
      </c>
      <c r="B122" s="6" t="s">
        <v>53</v>
      </c>
      <c r="C122" s="27">
        <v>15153</v>
      </c>
      <c r="D122" s="6">
        <v>109</v>
      </c>
      <c r="E122" s="7">
        <f t="shared" si="5"/>
        <v>139.0183486238532</v>
      </c>
      <c r="F122" s="10">
        <v>1123</v>
      </c>
      <c r="G122" s="10" t="s">
        <v>12</v>
      </c>
      <c r="H122" s="8">
        <f t="shared" si="9"/>
        <v>978240</v>
      </c>
      <c r="I122" s="9">
        <f t="shared" si="9"/>
        <v>23773</v>
      </c>
    </row>
    <row r="123" spans="1:9">
      <c r="A123" s="5">
        <v>45751</v>
      </c>
      <c r="B123" s="6" t="s">
        <v>54</v>
      </c>
      <c r="C123" s="27">
        <v>4331</v>
      </c>
      <c r="D123" s="6">
        <v>45</v>
      </c>
      <c r="E123" s="7">
        <f t="shared" si="5"/>
        <v>96.24444444444444</v>
      </c>
      <c r="F123" s="10">
        <v>1123</v>
      </c>
      <c r="G123" s="10" t="s">
        <v>12</v>
      </c>
      <c r="H123" s="8">
        <f t="shared" si="9"/>
        <v>982571</v>
      </c>
      <c r="I123" s="9">
        <f t="shared" si="9"/>
        <v>23818</v>
      </c>
    </row>
    <row r="124" spans="1:9">
      <c r="A124" s="5">
        <v>45751</v>
      </c>
      <c r="B124" s="6" t="s">
        <v>54</v>
      </c>
      <c r="C124" s="27">
        <v>11532</v>
      </c>
      <c r="D124" s="6">
        <v>83</v>
      </c>
      <c r="E124" s="7">
        <f t="shared" si="5"/>
        <v>138.93975903614458</v>
      </c>
      <c r="F124" s="10">
        <v>1072</v>
      </c>
      <c r="G124" s="10" t="s">
        <v>10</v>
      </c>
      <c r="H124" s="8">
        <f t="shared" si="9"/>
        <v>994103</v>
      </c>
      <c r="I124" s="9">
        <f t="shared" si="9"/>
        <v>23901</v>
      </c>
    </row>
    <row r="125" spans="1:9">
      <c r="A125" s="5">
        <v>45754</v>
      </c>
      <c r="B125" s="6" t="s">
        <v>55</v>
      </c>
      <c r="C125" s="27">
        <v>11533</v>
      </c>
      <c r="D125" s="6">
        <v>76</v>
      </c>
      <c r="E125" s="7">
        <f t="shared" si="5"/>
        <v>151.75</v>
      </c>
      <c r="F125" s="10">
        <v>1072</v>
      </c>
      <c r="G125" s="10" t="s">
        <v>10</v>
      </c>
      <c r="H125" s="8">
        <f t="shared" si="9"/>
        <v>1005636</v>
      </c>
      <c r="I125" s="9">
        <f t="shared" si="9"/>
        <v>23977</v>
      </c>
    </row>
    <row r="126" spans="1:9">
      <c r="A126" s="5">
        <v>45754</v>
      </c>
      <c r="B126" s="6" t="s">
        <v>55</v>
      </c>
      <c r="C126" s="27">
        <v>4183</v>
      </c>
      <c r="D126" s="6">
        <v>31</v>
      </c>
      <c r="E126" s="7">
        <f t="shared" si="5"/>
        <v>134.93548387096774</v>
      </c>
      <c r="F126" s="10">
        <v>1123</v>
      </c>
      <c r="G126" s="10" t="s">
        <v>12</v>
      </c>
      <c r="H126" s="8">
        <f t="shared" si="9"/>
        <v>1009819</v>
      </c>
      <c r="I126" s="9">
        <f t="shared" si="9"/>
        <v>24008</v>
      </c>
    </row>
    <row r="127" spans="1:9">
      <c r="A127" s="5">
        <v>45754</v>
      </c>
      <c r="B127" s="6" t="s">
        <v>56</v>
      </c>
      <c r="C127" s="27">
        <v>6103</v>
      </c>
      <c r="D127" s="6">
        <v>43</v>
      </c>
      <c r="E127" s="7">
        <f t="shared" si="5"/>
        <v>141.93023255813952</v>
      </c>
      <c r="F127" s="10">
        <v>1123</v>
      </c>
      <c r="G127" s="10" t="s">
        <v>12</v>
      </c>
      <c r="H127" s="8">
        <f t="shared" si="9"/>
        <v>1015922</v>
      </c>
      <c r="I127" s="9">
        <f t="shared" si="9"/>
        <v>24051</v>
      </c>
    </row>
    <row r="128" spans="1:9">
      <c r="A128" s="5">
        <v>45754</v>
      </c>
      <c r="B128" s="6" t="s">
        <v>56</v>
      </c>
      <c r="C128" s="27">
        <v>7136</v>
      </c>
      <c r="D128" s="6">
        <v>56</v>
      </c>
      <c r="E128" s="7">
        <f t="shared" si="5"/>
        <v>127.42857142857143</v>
      </c>
      <c r="F128" s="10">
        <v>1072</v>
      </c>
      <c r="G128" s="10" t="s">
        <v>10</v>
      </c>
      <c r="H128" s="8">
        <f t="shared" si="9"/>
        <v>1023058</v>
      </c>
      <c r="I128" s="9">
        <f t="shared" si="9"/>
        <v>24107</v>
      </c>
    </row>
    <row r="129" spans="1:9">
      <c r="A129" s="5">
        <v>45755</v>
      </c>
      <c r="B129" s="6" t="s">
        <v>56</v>
      </c>
      <c r="C129" s="27">
        <v>8435</v>
      </c>
      <c r="D129" s="6">
        <v>65</v>
      </c>
      <c r="E129" s="7">
        <f t="shared" si="5"/>
        <v>129.76923076923077</v>
      </c>
      <c r="F129" s="10">
        <v>1123</v>
      </c>
      <c r="G129" s="10" t="s">
        <v>12</v>
      </c>
      <c r="H129" s="8">
        <f t="shared" si="9"/>
        <v>1031493</v>
      </c>
      <c r="I129" s="9">
        <f t="shared" si="9"/>
        <v>24172</v>
      </c>
    </row>
    <row r="130" spans="1:9">
      <c r="A130" s="5">
        <v>45755</v>
      </c>
      <c r="B130" s="6" t="s">
        <v>56</v>
      </c>
      <c r="C130" s="27">
        <v>11148</v>
      </c>
      <c r="D130" s="6">
        <v>76</v>
      </c>
      <c r="E130" s="7">
        <f t="shared" ref="E130:E193" si="10">IF(D130&gt;0,(C130/D130),"*")</f>
        <v>146.68421052631578</v>
      </c>
      <c r="F130" s="10">
        <v>1072</v>
      </c>
      <c r="G130" s="10" t="s">
        <v>10</v>
      </c>
      <c r="H130" s="8">
        <f t="shared" si="9"/>
        <v>1042641</v>
      </c>
      <c r="I130" s="9">
        <f t="shared" si="9"/>
        <v>24248</v>
      </c>
    </row>
    <row r="131" spans="1:9">
      <c r="A131" s="5">
        <v>45756</v>
      </c>
      <c r="B131" s="6" t="s">
        <v>57</v>
      </c>
      <c r="C131" s="27">
        <v>10291</v>
      </c>
      <c r="D131" s="6">
        <v>70</v>
      </c>
      <c r="E131" s="7">
        <f t="shared" si="10"/>
        <v>147.01428571428571</v>
      </c>
      <c r="F131" s="10">
        <v>1123</v>
      </c>
      <c r="G131" s="10" t="s">
        <v>12</v>
      </c>
      <c r="H131" s="8">
        <f t="shared" ref="H131:I146" si="11">H130+C131</f>
        <v>1052932</v>
      </c>
      <c r="I131" s="9">
        <f t="shared" si="11"/>
        <v>24318</v>
      </c>
    </row>
    <row r="132" spans="1:9">
      <c r="A132" s="5">
        <v>45756</v>
      </c>
      <c r="B132" s="6" t="s">
        <v>57</v>
      </c>
      <c r="C132" s="27">
        <v>5042</v>
      </c>
      <c r="D132" s="6">
        <v>34</v>
      </c>
      <c r="E132" s="7">
        <f t="shared" si="10"/>
        <v>148.29411764705881</v>
      </c>
      <c r="F132" s="10">
        <v>1072</v>
      </c>
      <c r="G132" s="10" t="s">
        <v>10</v>
      </c>
      <c r="H132" s="8">
        <f t="shared" si="11"/>
        <v>1057974</v>
      </c>
      <c r="I132" s="9">
        <f t="shared" si="11"/>
        <v>24352</v>
      </c>
    </row>
    <row r="133" spans="1:9">
      <c r="A133" s="5">
        <v>45758</v>
      </c>
      <c r="B133" s="6" t="s">
        <v>58</v>
      </c>
      <c r="C133" s="27">
        <v>6339</v>
      </c>
      <c r="D133" s="6">
        <v>50</v>
      </c>
      <c r="E133" s="7">
        <f t="shared" si="10"/>
        <v>126.78</v>
      </c>
      <c r="F133" s="10">
        <v>1072</v>
      </c>
      <c r="G133" s="10" t="s">
        <v>10</v>
      </c>
      <c r="H133" s="8">
        <f t="shared" si="11"/>
        <v>1064313</v>
      </c>
      <c r="I133" s="9">
        <f t="shared" si="11"/>
        <v>24402</v>
      </c>
    </row>
    <row r="134" spans="1:9">
      <c r="A134" s="5">
        <v>45759</v>
      </c>
      <c r="B134" s="6" t="s">
        <v>58</v>
      </c>
      <c r="C134" s="27">
        <v>4846</v>
      </c>
      <c r="D134" s="6">
        <v>54</v>
      </c>
      <c r="E134" s="7">
        <f t="shared" si="10"/>
        <v>89.740740740740748</v>
      </c>
      <c r="F134" s="10">
        <v>1072</v>
      </c>
      <c r="G134" s="10" t="s">
        <v>10</v>
      </c>
      <c r="H134" s="8">
        <f t="shared" si="11"/>
        <v>1069159</v>
      </c>
      <c r="I134" s="9">
        <f t="shared" si="11"/>
        <v>24456</v>
      </c>
    </row>
    <row r="135" spans="1:9">
      <c r="A135" s="5">
        <v>45759</v>
      </c>
      <c r="B135" s="6" t="s">
        <v>58</v>
      </c>
      <c r="C135" s="27">
        <v>10326</v>
      </c>
      <c r="D135" s="6">
        <v>90</v>
      </c>
      <c r="E135" s="7">
        <f t="shared" si="10"/>
        <v>114.73333333333333</v>
      </c>
      <c r="F135" s="10">
        <v>1123</v>
      </c>
      <c r="G135" s="10" t="s">
        <v>12</v>
      </c>
      <c r="H135" s="8">
        <f t="shared" si="11"/>
        <v>1079485</v>
      </c>
      <c r="I135" s="9">
        <f t="shared" si="11"/>
        <v>24546</v>
      </c>
    </row>
    <row r="136" spans="1:9">
      <c r="A136" s="5">
        <v>45761</v>
      </c>
      <c r="B136" s="6" t="s">
        <v>58</v>
      </c>
      <c r="C136" s="27">
        <v>7890</v>
      </c>
      <c r="D136" s="6">
        <v>74</v>
      </c>
      <c r="E136" s="7">
        <f t="shared" si="10"/>
        <v>106.62162162162163</v>
      </c>
      <c r="F136" s="10">
        <v>1072</v>
      </c>
      <c r="G136" s="10" t="s">
        <v>10</v>
      </c>
      <c r="H136" s="8">
        <f t="shared" si="11"/>
        <v>1087375</v>
      </c>
      <c r="I136" s="9">
        <f t="shared" si="11"/>
        <v>24620</v>
      </c>
    </row>
    <row r="137" spans="1:9">
      <c r="A137" s="5">
        <v>45762</v>
      </c>
      <c r="B137" s="6" t="s">
        <v>59</v>
      </c>
      <c r="C137" s="27">
        <v>11800</v>
      </c>
      <c r="D137" s="6">
        <v>85</v>
      </c>
      <c r="E137" s="7">
        <f t="shared" si="10"/>
        <v>138.8235294117647</v>
      </c>
      <c r="F137" s="10">
        <v>1072</v>
      </c>
      <c r="G137" s="10" t="s">
        <v>10</v>
      </c>
      <c r="H137" s="8">
        <f t="shared" si="11"/>
        <v>1099175</v>
      </c>
      <c r="I137" s="9">
        <f t="shared" si="11"/>
        <v>24705</v>
      </c>
    </row>
    <row r="138" spans="1:9">
      <c r="A138" s="5">
        <v>45762</v>
      </c>
      <c r="B138" s="6" t="s">
        <v>59</v>
      </c>
      <c r="C138" s="27">
        <v>12221</v>
      </c>
      <c r="D138" s="6">
        <v>92</v>
      </c>
      <c r="E138" s="7">
        <f t="shared" si="10"/>
        <v>132.83695652173913</v>
      </c>
      <c r="F138" s="10">
        <v>1123</v>
      </c>
      <c r="G138" s="10" t="s">
        <v>12</v>
      </c>
      <c r="H138" s="8">
        <f t="shared" si="11"/>
        <v>1111396</v>
      </c>
      <c r="I138" s="9">
        <f t="shared" si="11"/>
        <v>24797</v>
      </c>
    </row>
    <row r="139" spans="1:9">
      <c r="A139" s="5">
        <v>45763</v>
      </c>
      <c r="B139" s="6" t="s">
        <v>58</v>
      </c>
      <c r="C139" s="27">
        <v>7861</v>
      </c>
      <c r="D139" s="6">
        <v>71</v>
      </c>
      <c r="E139" s="7">
        <f t="shared" si="10"/>
        <v>110.71830985915493</v>
      </c>
      <c r="F139" s="10">
        <v>1123</v>
      </c>
      <c r="G139" s="10" t="s">
        <v>12</v>
      </c>
      <c r="H139" s="8">
        <f t="shared" si="11"/>
        <v>1119257</v>
      </c>
      <c r="I139" s="9">
        <f t="shared" si="11"/>
        <v>24868</v>
      </c>
    </row>
    <row r="140" spans="1:9">
      <c r="A140" s="5">
        <v>45768</v>
      </c>
      <c r="B140" s="6" t="s">
        <v>60</v>
      </c>
      <c r="C140" s="27">
        <v>12825</v>
      </c>
      <c r="D140" s="6">
        <v>86</v>
      </c>
      <c r="E140" s="7">
        <f t="shared" si="10"/>
        <v>149.12790697674419</v>
      </c>
      <c r="F140" s="10">
        <v>1072</v>
      </c>
      <c r="G140" s="10" t="s">
        <v>10</v>
      </c>
      <c r="H140" s="8">
        <f t="shared" si="11"/>
        <v>1132082</v>
      </c>
      <c r="I140" s="9">
        <f t="shared" si="11"/>
        <v>24954</v>
      </c>
    </row>
    <row r="141" spans="1:9">
      <c r="A141" s="5">
        <v>45768</v>
      </c>
      <c r="B141" s="6" t="s">
        <v>60</v>
      </c>
      <c r="C141" s="27">
        <v>10445</v>
      </c>
      <c r="D141" s="6">
        <v>84</v>
      </c>
      <c r="E141" s="7">
        <f t="shared" si="10"/>
        <v>124.3452380952381</v>
      </c>
      <c r="F141" s="10">
        <v>1123</v>
      </c>
      <c r="G141" s="10" t="s">
        <v>12</v>
      </c>
      <c r="H141" s="8">
        <f t="shared" si="11"/>
        <v>1142527</v>
      </c>
      <c r="I141" s="9">
        <f t="shared" si="11"/>
        <v>25038</v>
      </c>
    </row>
    <row r="142" spans="1:9">
      <c r="A142" s="5">
        <v>45768</v>
      </c>
      <c r="B142" s="6" t="s">
        <v>61</v>
      </c>
      <c r="C142" s="27">
        <v>3490</v>
      </c>
      <c r="D142" s="6">
        <v>44</v>
      </c>
      <c r="E142" s="7">
        <f t="shared" si="10"/>
        <v>79.318181818181813</v>
      </c>
      <c r="F142" s="10">
        <v>1072</v>
      </c>
      <c r="G142" s="10" t="s">
        <v>10</v>
      </c>
      <c r="H142" s="8">
        <f t="shared" si="11"/>
        <v>1146017</v>
      </c>
      <c r="I142" s="9">
        <f t="shared" si="11"/>
        <v>25082</v>
      </c>
    </row>
    <row r="143" spans="1:9">
      <c r="A143" s="5">
        <v>45771</v>
      </c>
      <c r="B143" s="6" t="s">
        <v>62</v>
      </c>
      <c r="C143" s="27">
        <v>9968</v>
      </c>
      <c r="D143" s="6">
        <v>73</v>
      </c>
      <c r="E143" s="7">
        <f t="shared" si="10"/>
        <v>136.54794520547946</v>
      </c>
      <c r="F143" s="10">
        <v>1123</v>
      </c>
      <c r="G143" s="10" t="s">
        <v>12</v>
      </c>
      <c r="H143" s="8">
        <f t="shared" si="11"/>
        <v>1155985</v>
      </c>
      <c r="I143" s="9">
        <f t="shared" si="11"/>
        <v>25155</v>
      </c>
    </row>
    <row r="144" spans="1:9">
      <c r="A144" s="5">
        <v>45771</v>
      </c>
      <c r="B144" s="6" t="s">
        <v>62</v>
      </c>
      <c r="C144" s="27">
        <v>18190</v>
      </c>
      <c r="D144" s="6">
        <v>130</v>
      </c>
      <c r="E144" s="7">
        <f t="shared" si="10"/>
        <v>139.92307692307693</v>
      </c>
      <c r="F144" s="10">
        <v>1072</v>
      </c>
      <c r="G144" s="10" t="s">
        <v>10</v>
      </c>
      <c r="H144" s="8">
        <f t="shared" si="11"/>
        <v>1174175</v>
      </c>
      <c r="I144" s="9">
        <f t="shared" si="11"/>
        <v>25285</v>
      </c>
    </row>
    <row r="145" spans="1:9">
      <c r="A145" s="5">
        <v>45772</v>
      </c>
      <c r="B145" s="6" t="s">
        <v>63</v>
      </c>
      <c r="C145" s="27">
        <v>10650</v>
      </c>
      <c r="D145" s="6">
        <v>73</v>
      </c>
      <c r="E145" s="7">
        <f t="shared" si="10"/>
        <v>145.89041095890411</v>
      </c>
      <c r="F145" s="10">
        <v>1072</v>
      </c>
      <c r="G145" s="10" t="s">
        <v>10</v>
      </c>
      <c r="H145" s="8">
        <f t="shared" si="11"/>
        <v>1184825</v>
      </c>
      <c r="I145" s="9">
        <f t="shared" si="11"/>
        <v>25358</v>
      </c>
    </row>
    <row r="146" spans="1:9">
      <c r="A146" s="5">
        <v>45775</v>
      </c>
      <c r="B146" s="6" t="s">
        <v>63</v>
      </c>
      <c r="C146" s="27">
        <v>19971</v>
      </c>
      <c r="D146" s="6">
        <v>139</v>
      </c>
      <c r="E146" s="7">
        <f t="shared" si="10"/>
        <v>143.67625899280574</v>
      </c>
      <c r="F146" s="10">
        <v>1123</v>
      </c>
      <c r="G146" s="10" t="s">
        <v>12</v>
      </c>
      <c r="H146" s="8">
        <f t="shared" si="11"/>
        <v>1204796</v>
      </c>
      <c r="I146" s="9">
        <f t="shared" si="11"/>
        <v>25497</v>
      </c>
    </row>
    <row r="147" spans="1:9">
      <c r="A147" s="5">
        <v>45775</v>
      </c>
      <c r="B147" s="6" t="s">
        <v>63</v>
      </c>
      <c r="C147" s="27">
        <v>11778</v>
      </c>
      <c r="D147" s="6">
        <v>81</v>
      </c>
      <c r="E147" s="7">
        <f t="shared" si="10"/>
        <v>145.40740740740742</v>
      </c>
      <c r="F147" s="10">
        <v>1072</v>
      </c>
      <c r="G147" s="10" t="s">
        <v>47</v>
      </c>
      <c r="H147" s="8">
        <f t="shared" ref="H147:I162" si="12">H146+C147</f>
        <v>1216574</v>
      </c>
      <c r="I147" s="9">
        <f t="shared" si="12"/>
        <v>25578</v>
      </c>
    </row>
    <row r="148" spans="1:9">
      <c r="A148" s="5">
        <v>45776</v>
      </c>
      <c r="B148" s="6" t="s">
        <v>63</v>
      </c>
      <c r="C148" s="27">
        <v>10965</v>
      </c>
      <c r="D148" s="6">
        <v>75</v>
      </c>
      <c r="E148" s="7">
        <f t="shared" si="10"/>
        <v>146.19999999999999</v>
      </c>
      <c r="F148" s="10">
        <v>1123</v>
      </c>
      <c r="G148" s="10" t="s">
        <v>12</v>
      </c>
      <c r="H148" s="8">
        <f t="shared" si="12"/>
        <v>1227539</v>
      </c>
      <c r="I148" s="9">
        <f t="shared" si="12"/>
        <v>25653</v>
      </c>
    </row>
    <row r="149" spans="1:9">
      <c r="A149" s="5">
        <v>45776</v>
      </c>
      <c r="B149" s="6" t="s">
        <v>63</v>
      </c>
      <c r="C149" s="27">
        <v>16269</v>
      </c>
      <c r="D149" s="6">
        <v>110</v>
      </c>
      <c r="E149" s="7">
        <f t="shared" si="10"/>
        <v>147.9</v>
      </c>
      <c r="F149" s="10">
        <v>1072</v>
      </c>
      <c r="G149" s="10" t="s">
        <v>10</v>
      </c>
      <c r="H149" s="8">
        <f t="shared" si="12"/>
        <v>1243808</v>
      </c>
      <c r="I149" s="9">
        <f t="shared" si="12"/>
        <v>25763</v>
      </c>
    </row>
    <row r="150" spans="1:9">
      <c r="A150" s="5">
        <v>45777</v>
      </c>
      <c r="B150" s="6" t="s">
        <v>64</v>
      </c>
      <c r="C150" s="27">
        <v>13169</v>
      </c>
      <c r="D150" s="6">
        <v>107</v>
      </c>
      <c r="E150" s="7">
        <f t="shared" si="10"/>
        <v>123.07476635514018</v>
      </c>
      <c r="F150" s="10">
        <v>1123</v>
      </c>
      <c r="G150" s="10" t="s">
        <v>47</v>
      </c>
      <c r="H150" s="8">
        <f t="shared" si="12"/>
        <v>1256977</v>
      </c>
      <c r="I150" s="9">
        <f t="shared" si="12"/>
        <v>25870</v>
      </c>
    </row>
    <row r="151" spans="1:9">
      <c r="A151" s="5">
        <v>45777</v>
      </c>
      <c r="B151" s="6" t="s">
        <v>64</v>
      </c>
      <c r="C151" s="27">
        <v>4801</v>
      </c>
      <c r="D151" s="6">
        <v>37</v>
      </c>
      <c r="E151" s="7">
        <f t="shared" si="10"/>
        <v>129.75675675675674</v>
      </c>
      <c r="F151" s="10">
        <v>1072</v>
      </c>
      <c r="G151" s="10" t="s">
        <v>10</v>
      </c>
      <c r="H151" s="8">
        <f t="shared" si="12"/>
        <v>1261778</v>
      </c>
      <c r="I151" s="9">
        <f t="shared" si="12"/>
        <v>25907</v>
      </c>
    </row>
    <row r="152" spans="1:9">
      <c r="A152" s="12">
        <v>45778</v>
      </c>
      <c r="B152" s="10" t="s">
        <v>64</v>
      </c>
      <c r="C152" s="27">
        <v>4047</v>
      </c>
      <c r="D152" s="11">
        <v>32</v>
      </c>
      <c r="E152" s="7">
        <f t="shared" si="10"/>
        <v>126.46875</v>
      </c>
      <c r="F152" s="10">
        <v>1123</v>
      </c>
      <c r="G152" s="10" t="s">
        <v>12</v>
      </c>
      <c r="H152" s="8">
        <f t="shared" si="12"/>
        <v>1265825</v>
      </c>
      <c r="I152" s="9">
        <f t="shared" si="12"/>
        <v>25939</v>
      </c>
    </row>
    <row r="153" spans="1:9">
      <c r="A153" s="12">
        <v>45778</v>
      </c>
      <c r="B153" s="10" t="s">
        <v>64</v>
      </c>
      <c r="C153" s="27">
        <v>4422</v>
      </c>
      <c r="D153" s="6">
        <v>39</v>
      </c>
      <c r="E153" s="7">
        <f t="shared" si="10"/>
        <v>113.38461538461539</v>
      </c>
      <c r="F153" s="10">
        <v>1072</v>
      </c>
      <c r="G153" s="10" t="s">
        <v>10</v>
      </c>
      <c r="H153" s="8">
        <f t="shared" si="12"/>
        <v>1270247</v>
      </c>
      <c r="I153" s="9">
        <f t="shared" si="12"/>
        <v>25978</v>
      </c>
    </row>
    <row r="154" spans="1:9">
      <c r="A154" s="12">
        <v>45778</v>
      </c>
      <c r="B154" s="10" t="s">
        <v>65</v>
      </c>
      <c r="C154" s="27">
        <v>3594</v>
      </c>
      <c r="D154" s="11">
        <v>119</v>
      </c>
      <c r="E154" s="7">
        <f t="shared" si="10"/>
        <v>30.201680672268907</v>
      </c>
      <c r="F154" s="10">
        <v>1123</v>
      </c>
      <c r="G154" s="10" t="s">
        <v>12</v>
      </c>
      <c r="H154" s="8">
        <f t="shared" si="12"/>
        <v>1273841</v>
      </c>
      <c r="I154" s="9">
        <f t="shared" si="12"/>
        <v>26097</v>
      </c>
    </row>
    <row r="155" spans="1:9">
      <c r="A155" s="12">
        <v>45779</v>
      </c>
      <c r="B155" s="10" t="s">
        <v>66</v>
      </c>
      <c r="C155" s="27">
        <v>10670</v>
      </c>
      <c r="D155" s="11">
        <v>80</v>
      </c>
      <c r="E155" s="7">
        <f t="shared" si="10"/>
        <v>133.375</v>
      </c>
      <c r="F155" s="10">
        <v>1072</v>
      </c>
      <c r="G155" s="10" t="s">
        <v>10</v>
      </c>
      <c r="H155" s="8">
        <f t="shared" si="12"/>
        <v>1284511</v>
      </c>
      <c r="I155" s="9">
        <f t="shared" si="12"/>
        <v>26177</v>
      </c>
    </row>
    <row r="156" spans="1:9">
      <c r="A156" s="12">
        <v>45782</v>
      </c>
      <c r="B156" s="10" t="s">
        <v>66</v>
      </c>
      <c r="C156" s="27">
        <v>10227</v>
      </c>
      <c r="D156" s="11">
        <v>73</v>
      </c>
      <c r="E156" s="7">
        <f t="shared" si="10"/>
        <v>140.0958904109589</v>
      </c>
      <c r="F156" s="10">
        <v>1123</v>
      </c>
      <c r="G156" s="10" t="s">
        <v>12</v>
      </c>
      <c r="H156" s="8">
        <f t="shared" si="12"/>
        <v>1294738</v>
      </c>
      <c r="I156" s="9">
        <f t="shared" si="12"/>
        <v>26250</v>
      </c>
    </row>
    <row r="157" spans="1:9">
      <c r="A157" s="12">
        <v>45782</v>
      </c>
      <c r="B157" s="10" t="s">
        <v>66</v>
      </c>
      <c r="C157" s="27">
        <v>9870</v>
      </c>
      <c r="D157" s="11">
        <v>71</v>
      </c>
      <c r="E157" s="7">
        <f t="shared" si="10"/>
        <v>139.01408450704224</v>
      </c>
      <c r="F157" s="10">
        <v>1072</v>
      </c>
      <c r="G157" s="10" t="s">
        <v>10</v>
      </c>
      <c r="H157" s="8">
        <f t="shared" si="12"/>
        <v>1304608</v>
      </c>
      <c r="I157" s="9">
        <f t="shared" si="12"/>
        <v>26321</v>
      </c>
    </row>
    <row r="158" spans="1:9">
      <c r="A158" s="12">
        <v>45782</v>
      </c>
      <c r="B158" s="10" t="s">
        <v>67</v>
      </c>
      <c r="C158" s="27">
        <v>8941</v>
      </c>
      <c r="D158" s="11">
        <v>64</v>
      </c>
      <c r="E158" s="7">
        <f t="shared" si="10"/>
        <v>139.703125</v>
      </c>
      <c r="F158" s="10">
        <v>1123</v>
      </c>
      <c r="G158" s="10" t="s">
        <v>12</v>
      </c>
      <c r="H158" s="8">
        <f t="shared" si="12"/>
        <v>1313549</v>
      </c>
      <c r="I158" s="9">
        <f t="shared" si="12"/>
        <v>26385</v>
      </c>
    </row>
    <row r="159" spans="1:9">
      <c r="A159" s="12">
        <v>45782</v>
      </c>
      <c r="B159" s="10" t="s">
        <v>67</v>
      </c>
      <c r="C159" s="27">
        <v>1525</v>
      </c>
      <c r="D159" s="11">
        <v>12</v>
      </c>
      <c r="E159" s="7">
        <f t="shared" si="10"/>
        <v>127.08333333333333</v>
      </c>
      <c r="F159" s="10">
        <v>1072</v>
      </c>
      <c r="G159" s="10" t="s">
        <v>10</v>
      </c>
      <c r="H159" s="8">
        <f t="shared" si="12"/>
        <v>1315074</v>
      </c>
      <c r="I159" s="9">
        <f t="shared" si="12"/>
        <v>26397</v>
      </c>
    </row>
    <row r="160" spans="1:9">
      <c r="A160" s="12">
        <v>45783</v>
      </c>
      <c r="B160" s="10" t="s">
        <v>67</v>
      </c>
      <c r="C160" s="27">
        <v>13045</v>
      </c>
      <c r="D160" s="11">
        <v>100</v>
      </c>
      <c r="E160" s="7">
        <f t="shared" si="10"/>
        <v>130.44999999999999</v>
      </c>
      <c r="F160" s="10">
        <v>1123</v>
      </c>
      <c r="G160" s="10" t="s">
        <v>12</v>
      </c>
      <c r="H160" s="8">
        <f t="shared" si="12"/>
        <v>1328119</v>
      </c>
      <c r="I160" s="9">
        <f t="shared" si="12"/>
        <v>26497</v>
      </c>
    </row>
    <row r="161" spans="1:9">
      <c r="A161" s="12">
        <v>45783</v>
      </c>
      <c r="B161" s="10" t="s">
        <v>67</v>
      </c>
      <c r="C161" s="27">
        <v>15318</v>
      </c>
      <c r="D161" s="11">
        <v>117</v>
      </c>
      <c r="E161" s="7">
        <f t="shared" si="10"/>
        <v>130.92307692307693</v>
      </c>
      <c r="F161" s="10">
        <v>1072</v>
      </c>
      <c r="G161" s="10" t="s">
        <v>10</v>
      </c>
      <c r="H161" s="8">
        <f t="shared" si="12"/>
        <v>1343437</v>
      </c>
      <c r="I161" s="9">
        <f t="shared" si="12"/>
        <v>26614</v>
      </c>
    </row>
    <row r="162" spans="1:9">
      <c r="A162" s="12">
        <v>45784</v>
      </c>
      <c r="B162" s="10" t="s">
        <v>66</v>
      </c>
      <c r="C162" s="27">
        <v>1705</v>
      </c>
      <c r="D162" s="11">
        <v>48</v>
      </c>
      <c r="E162" s="7">
        <f t="shared" si="10"/>
        <v>35.520833333333336</v>
      </c>
      <c r="F162" s="10">
        <v>1123</v>
      </c>
      <c r="G162" s="10" t="s">
        <v>12</v>
      </c>
      <c r="H162" s="8">
        <f t="shared" si="12"/>
        <v>1345142</v>
      </c>
      <c r="I162" s="9">
        <f t="shared" si="12"/>
        <v>26662</v>
      </c>
    </row>
    <row r="163" spans="1:9">
      <c r="A163" s="12">
        <v>45786</v>
      </c>
      <c r="B163" s="10" t="s">
        <v>68</v>
      </c>
      <c r="C163" s="27">
        <v>11116</v>
      </c>
      <c r="D163" s="11">
        <v>89</v>
      </c>
      <c r="E163" s="7">
        <f t="shared" si="10"/>
        <v>124.89887640449439</v>
      </c>
      <c r="F163" s="10">
        <v>1123</v>
      </c>
      <c r="G163" s="10" t="s">
        <v>12</v>
      </c>
      <c r="H163" s="8">
        <f t="shared" ref="H163:I178" si="13">H162+C163</f>
        <v>1356258</v>
      </c>
      <c r="I163" s="9">
        <f t="shared" si="13"/>
        <v>26751</v>
      </c>
    </row>
    <row r="164" spans="1:9">
      <c r="A164" s="12">
        <v>45789</v>
      </c>
      <c r="B164" s="10" t="s">
        <v>69</v>
      </c>
      <c r="C164" s="27">
        <v>13037</v>
      </c>
      <c r="D164" s="11">
        <v>103</v>
      </c>
      <c r="E164" s="7">
        <f t="shared" si="10"/>
        <v>126.57281553398059</v>
      </c>
      <c r="F164" s="10">
        <v>1123</v>
      </c>
      <c r="G164" s="10" t="s">
        <v>12</v>
      </c>
      <c r="H164" s="8">
        <f t="shared" si="13"/>
        <v>1369295</v>
      </c>
      <c r="I164" s="9">
        <f t="shared" si="13"/>
        <v>26854</v>
      </c>
    </row>
    <row r="165" spans="1:9">
      <c r="A165" s="12">
        <v>45789</v>
      </c>
      <c r="B165" s="10" t="s">
        <v>69</v>
      </c>
      <c r="C165" s="27">
        <v>8653</v>
      </c>
      <c r="D165" s="11">
        <v>74</v>
      </c>
      <c r="E165" s="7">
        <f t="shared" si="10"/>
        <v>116.93243243243244</v>
      </c>
      <c r="F165" s="10">
        <v>1072</v>
      </c>
      <c r="G165" s="10" t="s">
        <v>10</v>
      </c>
      <c r="H165" s="8">
        <f t="shared" si="13"/>
        <v>1377948</v>
      </c>
      <c r="I165" s="9">
        <f t="shared" si="13"/>
        <v>26928</v>
      </c>
    </row>
    <row r="166" spans="1:9">
      <c r="A166" s="12">
        <v>45790</v>
      </c>
      <c r="B166" s="10" t="s">
        <v>69</v>
      </c>
      <c r="C166" s="27">
        <v>3080</v>
      </c>
      <c r="D166" s="11">
        <v>28</v>
      </c>
      <c r="E166" s="7">
        <f t="shared" si="10"/>
        <v>110</v>
      </c>
      <c r="F166" s="10">
        <v>1072</v>
      </c>
      <c r="G166" s="10" t="s">
        <v>10</v>
      </c>
      <c r="H166" s="8">
        <f t="shared" si="13"/>
        <v>1381028</v>
      </c>
      <c r="I166" s="9">
        <f t="shared" si="13"/>
        <v>26956</v>
      </c>
    </row>
    <row r="167" spans="1:9">
      <c r="A167" s="12">
        <v>45790</v>
      </c>
      <c r="B167" s="10" t="s">
        <v>69</v>
      </c>
      <c r="C167" s="27">
        <v>2456</v>
      </c>
      <c r="D167" s="11">
        <v>25</v>
      </c>
      <c r="E167" s="7">
        <f t="shared" si="10"/>
        <v>98.24</v>
      </c>
      <c r="F167" s="10">
        <v>1123</v>
      </c>
      <c r="G167" s="10" t="s">
        <v>12</v>
      </c>
      <c r="H167" s="8">
        <f t="shared" si="13"/>
        <v>1383484</v>
      </c>
      <c r="I167" s="9">
        <f t="shared" si="13"/>
        <v>26981</v>
      </c>
    </row>
    <row r="168" spans="1:9">
      <c r="A168" s="12">
        <v>45792</v>
      </c>
      <c r="B168" s="10" t="s">
        <v>70</v>
      </c>
      <c r="C168" s="27">
        <v>10603</v>
      </c>
      <c r="D168" s="11">
        <v>79</v>
      </c>
      <c r="E168" s="7">
        <f t="shared" si="10"/>
        <v>134.21518987341773</v>
      </c>
      <c r="F168" s="10">
        <v>1072</v>
      </c>
      <c r="G168" s="10" t="s">
        <v>10</v>
      </c>
      <c r="H168" s="8">
        <f t="shared" si="13"/>
        <v>1394087</v>
      </c>
      <c r="I168" s="9">
        <f t="shared" si="13"/>
        <v>27060</v>
      </c>
    </row>
    <row r="169" spans="1:9">
      <c r="A169" s="12">
        <v>45792</v>
      </c>
      <c r="B169" s="10" t="s">
        <v>70</v>
      </c>
      <c r="C169" s="27">
        <v>13603</v>
      </c>
      <c r="D169" s="11">
        <v>104</v>
      </c>
      <c r="E169" s="7">
        <f t="shared" si="10"/>
        <v>130.79807692307693</v>
      </c>
      <c r="F169" s="10">
        <v>1123</v>
      </c>
      <c r="G169" s="10" t="s">
        <v>12</v>
      </c>
      <c r="H169" s="8">
        <f t="shared" si="13"/>
        <v>1407690</v>
      </c>
      <c r="I169" s="9">
        <f t="shared" si="13"/>
        <v>27164</v>
      </c>
    </row>
    <row r="170" spans="1:9">
      <c r="A170" s="12">
        <v>45793</v>
      </c>
      <c r="B170" s="10" t="s">
        <v>70</v>
      </c>
      <c r="C170" s="27">
        <v>1820</v>
      </c>
      <c r="D170" s="11">
        <v>19</v>
      </c>
      <c r="E170" s="7">
        <f t="shared" si="10"/>
        <v>95.78947368421052</v>
      </c>
      <c r="F170" s="10">
        <v>1072</v>
      </c>
      <c r="G170" s="10" t="s">
        <v>10</v>
      </c>
      <c r="H170" s="8">
        <f t="shared" si="13"/>
        <v>1409510</v>
      </c>
      <c r="I170" s="9">
        <f t="shared" si="13"/>
        <v>27183</v>
      </c>
    </row>
    <row r="171" spans="1:9">
      <c r="A171" s="12">
        <v>45793</v>
      </c>
      <c r="B171" s="10" t="s">
        <v>70</v>
      </c>
      <c r="C171" s="27">
        <v>3583</v>
      </c>
      <c r="D171" s="11">
        <v>34</v>
      </c>
      <c r="E171" s="7">
        <f t="shared" si="10"/>
        <v>105.38235294117646</v>
      </c>
      <c r="F171" s="10">
        <v>1123</v>
      </c>
      <c r="G171" s="10" t="s">
        <v>12</v>
      </c>
      <c r="H171" s="8">
        <f t="shared" si="13"/>
        <v>1413093</v>
      </c>
      <c r="I171" s="9">
        <f t="shared" si="13"/>
        <v>27217</v>
      </c>
    </row>
    <row r="172" spans="1:9">
      <c r="A172" s="12">
        <v>45796</v>
      </c>
      <c r="B172" s="10" t="s">
        <v>71</v>
      </c>
      <c r="C172" s="27">
        <v>4458</v>
      </c>
      <c r="D172" s="11">
        <v>46</v>
      </c>
      <c r="E172" s="7">
        <f t="shared" si="10"/>
        <v>96.913043478260875</v>
      </c>
      <c r="F172" s="10">
        <v>1123</v>
      </c>
      <c r="G172" s="10" t="s">
        <v>12</v>
      </c>
      <c r="H172" s="8">
        <f t="shared" si="13"/>
        <v>1417551</v>
      </c>
      <c r="I172" s="9">
        <f t="shared" si="13"/>
        <v>27263</v>
      </c>
    </row>
    <row r="173" spans="1:9">
      <c r="A173" s="12">
        <v>45796</v>
      </c>
      <c r="B173" s="10" t="s">
        <v>71</v>
      </c>
      <c r="C173" s="27">
        <v>7551</v>
      </c>
      <c r="D173" s="11">
        <v>55</v>
      </c>
      <c r="E173" s="7">
        <f t="shared" si="10"/>
        <v>137.29090909090908</v>
      </c>
      <c r="F173" s="10">
        <v>1072</v>
      </c>
      <c r="G173" s="10" t="s">
        <v>10</v>
      </c>
      <c r="H173" s="8">
        <f t="shared" si="13"/>
        <v>1425102</v>
      </c>
      <c r="I173" s="9">
        <f t="shared" si="13"/>
        <v>27318</v>
      </c>
    </row>
    <row r="174" spans="1:9">
      <c r="A174" s="12">
        <v>45796</v>
      </c>
      <c r="B174" s="10" t="s">
        <v>72</v>
      </c>
      <c r="C174" s="27">
        <v>10340</v>
      </c>
      <c r="D174" s="11">
        <v>86</v>
      </c>
      <c r="E174" s="7">
        <f t="shared" si="10"/>
        <v>120.23255813953489</v>
      </c>
      <c r="F174" s="10">
        <v>1072</v>
      </c>
      <c r="G174" s="10" t="s">
        <v>10</v>
      </c>
      <c r="H174" s="8">
        <f t="shared" si="13"/>
        <v>1435442</v>
      </c>
      <c r="I174" s="9">
        <f t="shared" si="13"/>
        <v>27404</v>
      </c>
    </row>
    <row r="175" spans="1:9">
      <c r="A175" s="12">
        <v>45796</v>
      </c>
      <c r="B175" s="10" t="s">
        <v>72</v>
      </c>
      <c r="C175" s="27">
        <v>8925</v>
      </c>
      <c r="D175" s="11">
        <v>65</v>
      </c>
      <c r="E175" s="7">
        <f t="shared" si="10"/>
        <v>137.30769230769232</v>
      </c>
      <c r="F175" s="10">
        <v>1123</v>
      </c>
      <c r="G175" s="10" t="s">
        <v>12</v>
      </c>
      <c r="H175" s="8">
        <f t="shared" si="13"/>
        <v>1444367</v>
      </c>
      <c r="I175" s="9">
        <f t="shared" si="13"/>
        <v>27469</v>
      </c>
    </row>
    <row r="176" spans="1:9">
      <c r="A176" s="12">
        <v>45797</v>
      </c>
      <c r="B176" s="10" t="s">
        <v>73</v>
      </c>
      <c r="C176" s="27">
        <v>7589</v>
      </c>
      <c r="D176" s="11">
        <v>71</v>
      </c>
      <c r="E176" s="7">
        <f t="shared" si="10"/>
        <v>106.88732394366197</v>
      </c>
      <c r="F176" s="10">
        <v>1072</v>
      </c>
      <c r="G176" s="10" t="s">
        <v>10</v>
      </c>
      <c r="H176" s="8">
        <f t="shared" si="13"/>
        <v>1451956</v>
      </c>
      <c r="I176" s="9">
        <f t="shared" si="13"/>
        <v>27540</v>
      </c>
    </row>
    <row r="177" spans="1:9">
      <c r="A177" s="12">
        <v>45798</v>
      </c>
      <c r="B177" s="10" t="s">
        <v>71</v>
      </c>
      <c r="C177" s="27">
        <v>3282</v>
      </c>
      <c r="D177" s="11">
        <v>32</v>
      </c>
      <c r="E177" s="7">
        <f t="shared" si="10"/>
        <v>102.5625</v>
      </c>
      <c r="F177" s="10">
        <v>1072</v>
      </c>
      <c r="G177" s="10" t="s">
        <v>10</v>
      </c>
      <c r="H177" s="8">
        <f t="shared" si="13"/>
        <v>1455238</v>
      </c>
      <c r="I177" s="9">
        <f t="shared" si="13"/>
        <v>27572</v>
      </c>
    </row>
    <row r="178" spans="1:9">
      <c r="A178" s="12">
        <v>45799</v>
      </c>
      <c r="B178" s="10" t="s">
        <v>74</v>
      </c>
      <c r="C178" s="27">
        <v>9076</v>
      </c>
      <c r="D178" s="11">
        <v>76</v>
      </c>
      <c r="E178" s="7">
        <f t="shared" si="10"/>
        <v>119.42105263157895</v>
      </c>
      <c r="F178" s="10">
        <v>1123</v>
      </c>
      <c r="G178" s="10" t="s">
        <v>12</v>
      </c>
      <c r="H178" s="8">
        <f t="shared" si="13"/>
        <v>1464314</v>
      </c>
      <c r="I178" s="9">
        <f t="shared" si="13"/>
        <v>27648</v>
      </c>
    </row>
    <row r="179" spans="1:9">
      <c r="A179" s="12">
        <v>45799</v>
      </c>
      <c r="B179" s="10" t="s">
        <v>74</v>
      </c>
      <c r="C179" s="27">
        <v>9633</v>
      </c>
      <c r="D179" s="11">
        <v>77</v>
      </c>
      <c r="E179" s="7">
        <f t="shared" si="10"/>
        <v>125.1038961038961</v>
      </c>
      <c r="F179" s="10">
        <v>1072</v>
      </c>
      <c r="G179" s="10" t="s">
        <v>10</v>
      </c>
      <c r="H179" s="8">
        <f t="shared" ref="H179:I194" si="14">H178+C179</f>
        <v>1473947</v>
      </c>
      <c r="I179" s="9">
        <f t="shared" si="14"/>
        <v>27725</v>
      </c>
    </row>
    <row r="180" spans="1:9">
      <c r="A180" s="12">
        <v>45799</v>
      </c>
      <c r="B180" s="10" t="s">
        <v>75</v>
      </c>
      <c r="C180" s="27">
        <v>965</v>
      </c>
      <c r="D180" s="11">
        <v>51</v>
      </c>
      <c r="E180" s="7">
        <f t="shared" si="10"/>
        <v>18.921568627450981</v>
      </c>
      <c r="F180" s="10">
        <v>1072</v>
      </c>
      <c r="G180" s="10" t="s">
        <v>10</v>
      </c>
      <c r="H180" s="8">
        <f t="shared" si="14"/>
        <v>1474912</v>
      </c>
      <c r="I180" s="9">
        <f t="shared" si="14"/>
        <v>27776</v>
      </c>
    </row>
    <row r="181" spans="1:9">
      <c r="A181" s="12">
        <v>45800</v>
      </c>
      <c r="B181" s="10" t="s">
        <v>74</v>
      </c>
      <c r="C181" s="27">
        <v>1715</v>
      </c>
      <c r="D181" s="11">
        <v>12</v>
      </c>
      <c r="E181" s="7">
        <f t="shared" si="10"/>
        <v>142.91666666666666</v>
      </c>
      <c r="F181" s="10">
        <v>1123</v>
      </c>
      <c r="G181" s="10" t="s">
        <v>12</v>
      </c>
      <c r="H181" s="8">
        <f t="shared" si="14"/>
        <v>1476627</v>
      </c>
      <c r="I181" s="9">
        <f t="shared" si="14"/>
        <v>27788</v>
      </c>
    </row>
    <row r="182" spans="1:9">
      <c r="A182" s="12">
        <v>45804</v>
      </c>
      <c r="B182" s="10" t="s">
        <v>76</v>
      </c>
      <c r="C182" s="27">
        <v>11993</v>
      </c>
      <c r="D182" s="11">
        <v>91</v>
      </c>
      <c r="E182" s="7">
        <f t="shared" si="10"/>
        <v>131.79120879120879</v>
      </c>
      <c r="F182" s="10">
        <v>1072</v>
      </c>
      <c r="G182" s="10" t="s">
        <v>10</v>
      </c>
      <c r="H182" s="8">
        <f t="shared" si="14"/>
        <v>1488620</v>
      </c>
      <c r="I182" s="9">
        <f t="shared" si="14"/>
        <v>27879</v>
      </c>
    </row>
    <row r="183" spans="1:9">
      <c r="A183" s="12">
        <v>45804</v>
      </c>
      <c r="B183" s="10" t="s">
        <v>76</v>
      </c>
      <c r="C183" s="27">
        <v>10403</v>
      </c>
      <c r="D183" s="11">
        <v>87</v>
      </c>
      <c r="E183" s="7">
        <f t="shared" si="10"/>
        <v>119.57471264367815</v>
      </c>
      <c r="F183" s="10">
        <v>1123</v>
      </c>
      <c r="G183" s="10" t="s">
        <v>12</v>
      </c>
      <c r="H183" s="8">
        <f t="shared" si="14"/>
        <v>1499023</v>
      </c>
      <c r="I183" s="9">
        <f t="shared" si="14"/>
        <v>27966</v>
      </c>
    </row>
    <row r="184" spans="1:9">
      <c r="A184" s="12">
        <v>45805</v>
      </c>
      <c r="B184" s="10" t="s">
        <v>77</v>
      </c>
      <c r="C184" s="27">
        <v>5660</v>
      </c>
      <c r="D184" s="11">
        <v>95</v>
      </c>
      <c r="E184" s="7">
        <f t="shared" si="10"/>
        <v>59.578947368421055</v>
      </c>
      <c r="F184" s="10">
        <v>1123</v>
      </c>
      <c r="G184" s="10" t="s">
        <v>12</v>
      </c>
      <c r="H184" s="8">
        <f t="shared" si="14"/>
        <v>1504683</v>
      </c>
      <c r="I184" s="9">
        <f t="shared" si="14"/>
        <v>28061</v>
      </c>
    </row>
    <row r="185" spans="1:9">
      <c r="A185" s="12">
        <v>45805</v>
      </c>
      <c r="B185" s="10" t="s">
        <v>78</v>
      </c>
      <c r="C185" s="27">
        <v>4752</v>
      </c>
      <c r="D185" s="11">
        <v>71</v>
      </c>
      <c r="E185" s="7">
        <f t="shared" si="10"/>
        <v>66.929577464788736</v>
      </c>
      <c r="F185" s="10">
        <v>1123</v>
      </c>
      <c r="G185" s="10" t="s">
        <v>12</v>
      </c>
      <c r="H185" s="8">
        <f t="shared" si="14"/>
        <v>1509435</v>
      </c>
      <c r="I185" s="9">
        <f t="shared" si="14"/>
        <v>28132</v>
      </c>
    </row>
    <row r="186" spans="1:9">
      <c r="A186" s="12">
        <v>45805</v>
      </c>
      <c r="B186" s="10" t="s">
        <v>78</v>
      </c>
      <c r="C186" s="27">
        <v>615</v>
      </c>
      <c r="D186" s="11">
        <v>12</v>
      </c>
      <c r="E186" s="7">
        <f t="shared" si="10"/>
        <v>51.25</v>
      </c>
      <c r="F186" s="10">
        <v>1072</v>
      </c>
      <c r="G186" s="10" t="s">
        <v>10</v>
      </c>
      <c r="H186" s="8">
        <f t="shared" si="14"/>
        <v>1510050</v>
      </c>
      <c r="I186" s="9">
        <f t="shared" si="14"/>
        <v>28144</v>
      </c>
    </row>
    <row r="187" spans="1:9">
      <c r="A187" s="12">
        <v>45805</v>
      </c>
      <c r="B187" s="10" t="s">
        <v>79</v>
      </c>
      <c r="C187" s="27">
        <v>3182</v>
      </c>
      <c r="D187" s="11">
        <v>30</v>
      </c>
      <c r="E187" s="7">
        <f t="shared" si="10"/>
        <v>106.06666666666666</v>
      </c>
      <c r="F187" s="10">
        <v>1072</v>
      </c>
      <c r="G187" s="10" t="s">
        <v>10</v>
      </c>
      <c r="H187" s="8">
        <f t="shared" si="14"/>
        <v>1513232</v>
      </c>
      <c r="I187" s="9">
        <f t="shared" si="14"/>
        <v>28174</v>
      </c>
    </row>
    <row r="188" spans="1:9">
      <c r="A188" s="12">
        <v>45806</v>
      </c>
      <c r="B188" s="10" t="s">
        <v>79</v>
      </c>
      <c r="C188" s="27">
        <v>2884</v>
      </c>
      <c r="D188" s="11">
        <v>36</v>
      </c>
      <c r="E188" s="7">
        <f t="shared" si="10"/>
        <v>80.111111111111114</v>
      </c>
      <c r="F188" s="10">
        <v>1072</v>
      </c>
      <c r="G188" s="10" t="s">
        <v>10</v>
      </c>
      <c r="H188" s="8">
        <f t="shared" si="14"/>
        <v>1516116</v>
      </c>
      <c r="I188" s="9">
        <f t="shared" si="14"/>
        <v>28210</v>
      </c>
    </row>
    <row r="189" spans="1:9">
      <c r="A189" s="12">
        <v>45806</v>
      </c>
      <c r="B189" s="10" t="s">
        <v>79</v>
      </c>
      <c r="C189" s="27">
        <v>10348</v>
      </c>
      <c r="D189" s="11">
        <v>89</v>
      </c>
      <c r="E189" s="7">
        <f t="shared" si="10"/>
        <v>116.26966292134831</v>
      </c>
      <c r="F189" s="10">
        <v>1123</v>
      </c>
      <c r="G189" s="10" t="s">
        <v>12</v>
      </c>
      <c r="H189" s="8">
        <f t="shared" si="14"/>
        <v>1526464</v>
      </c>
      <c r="I189" s="9">
        <f t="shared" si="14"/>
        <v>28299</v>
      </c>
    </row>
    <row r="190" spans="1:9">
      <c r="A190" s="12">
        <v>45808</v>
      </c>
      <c r="B190" s="10" t="s">
        <v>76</v>
      </c>
      <c r="C190" s="27">
        <v>11468</v>
      </c>
      <c r="D190" s="11">
        <v>87</v>
      </c>
      <c r="E190" s="7">
        <f t="shared" si="10"/>
        <v>131.81609195402299</v>
      </c>
      <c r="F190" s="10">
        <v>1072</v>
      </c>
      <c r="G190" s="10" t="s">
        <v>10</v>
      </c>
      <c r="H190" s="8">
        <f t="shared" si="14"/>
        <v>1537932</v>
      </c>
      <c r="I190" s="9">
        <f t="shared" si="14"/>
        <v>28386</v>
      </c>
    </row>
    <row r="191" spans="1:9">
      <c r="A191" s="12">
        <v>45808</v>
      </c>
      <c r="B191" s="10" t="s">
        <v>76</v>
      </c>
      <c r="C191" s="27">
        <v>7940</v>
      </c>
      <c r="D191" s="11">
        <v>57</v>
      </c>
      <c r="E191" s="7">
        <f t="shared" si="10"/>
        <v>139.2982456140351</v>
      </c>
      <c r="F191" s="10">
        <v>1123</v>
      </c>
      <c r="G191" s="10" t="s">
        <v>12</v>
      </c>
      <c r="H191" s="8">
        <f t="shared" si="14"/>
        <v>1545872</v>
      </c>
      <c r="I191" s="9">
        <f t="shared" si="14"/>
        <v>28443</v>
      </c>
    </row>
    <row r="192" spans="1:9">
      <c r="A192" s="12">
        <v>45810</v>
      </c>
      <c r="B192" s="10" t="s">
        <v>76</v>
      </c>
      <c r="C192" s="27">
        <v>6029</v>
      </c>
      <c r="D192" s="11">
        <v>58</v>
      </c>
      <c r="E192" s="7">
        <f t="shared" si="10"/>
        <v>103.94827586206897</v>
      </c>
      <c r="F192" s="10">
        <v>1123</v>
      </c>
      <c r="G192" s="10" t="s">
        <v>12</v>
      </c>
      <c r="H192" s="8">
        <f t="shared" si="14"/>
        <v>1551901</v>
      </c>
      <c r="I192" s="9">
        <f t="shared" si="14"/>
        <v>28501</v>
      </c>
    </row>
    <row r="193" spans="1:9">
      <c r="A193" s="12">
        <v>45811</v>
      </c>
      <c r="B193" s="10" t="s">
        <v>80</v>
      </c>
      <c r="C193" s="27">
        <v>11139</v>
      </c>
      <c r="D193" s="11">
        <v>79</v>
      </c>
      <c r="E193" s="7">
        <f t="shared" si="10"/>
        <v>141</v>
      </c>
      <c r="F193" s="10">
        <v>1072</v>
      </c>
      <c r="G193" s="10" t="s">
        <v>10</v>
      </c>
      <c r="H193" s="8">
        <f t="shared" si="14"/>
        <v>1563040</v>
      </c>
      <c r="I193" s="9">
        <f t="shared" si="14"/>
        <v>28580</v>
      </c>
    </row>
    <row r="194" spans="1:9">
      <c r="A194" s="12">
        <v>45811</v>
      </c>
      <c r="B194" s="10" t="s">
        <v>80</v>
      </c>
      <c r="C194" s="27">
        <v>17442</v>
      </c>
      <c r="D194" s="11">
        <v>131</v>
      </c>
      <c r="E194" s="7">
        <f t="shared" ref="E194:E257" si="15">IF(D194&gt;0,(C194/D194),"*")</f>
        <v>133.14503816793894</v>
      </c>
      <c r="F194" s="10">
        <v>1123</v>
      </c>
      <c r="G194" s="10" t="s">
        <v>12</v>
      </c>
      <c r="H194" s="8">
        <f t="shared" si="14"/>
        <v>1580482</v>
      </c>
      <c r="I194" s="9">
        <f t="shared" si="14"/>
        <v>28711</v>
      </c>
    </row>
    <row r="195" spans="1:9">
      <c r="A195" s="12">
        <v>45812</v>
      </c>
      <c r="B195" s="10" t="s">
        <v>81</v>
      </c>
      <c r="C195" s="27">
        <v>1890</v>
      </c>
      <c r="D195" s="11">
        <v>13</v>
      </c>
      <c r="E195" s="7">
        <f t="shared" si="15"/>
        <v>145.38461538461539</v>
      </c>
      <c r="F195" s="10">
        <v>1123</v>
      </c>
      <c r="G195" s="10" t="s">
        <v>12</v>
      </c>
      <c r="H195" s="8">
        <f t="shared" ref="H195:I210" si="16">H194+C195</f>
        <v>1582372</v>
      </c>
      <c r="I195" s="9">
        <f t="shared" si="16"/>
        <v>28724</v>
      </c>
    </row>
    <row r="196" spans="1:9">
      <c r="A196" s="12">
        <v>45813</v>
      </c>
      <c r="B196" s="10" t="s">
        <v>81</v>
      </c>
      <c r="C196" s="27">
        <v>3125</v>
      </c>
      <c r="D196" s="11">
        <v>22</v>
      </c>
      <c r="E196" s="7">
        <f t="shared" si="15"/>
        <v>142.04545454545453</v>
      </c>
      <c r="F196" s="10">
        <v>1123</v>
      </c>
      <c r="G196" s="10" t="s">
        <v>12</v>
      </c>
      <c r="H196" s="8">
        <f t="shared" si="16"/>
        <v>1585497</v>
      </c>
      <c r="I196" s="9">
        <f t="shared" si="16"/>
        <v>28746</v>
      </c>
    </row>
    <row r="197" spans="1:9">
      <c r="A197" s="12">
        <v>45813</v>
      </c>
      <c r="B197" s="10" t="s">
        <v>81</v>
      </c>
      <c r="C197" s="27">
        <v>19652</v>
      </c>
      <c r="D197" s="11">
        <v>145</v>
      </c>
      <c r="E197" s="7">
        <f t="shared" si="15"/>
        <v>135.53103448275863</v>
      </c>
      <c r="F197" s="10">
        <v>1072</v>
      </c>
      <c r="G197" s="10" t="s">
        <v>10</v>
      </c>
      <c r="H197" s="8">
        <f t="shared" si="16"/>
        <v>1605149</v>
      </c>
      <c r="I197" s="9">
        <f t="shared" si="16"/>
        <v>28891</v>
      </c>
    </row>
    <row r="198" spans="1:9">
      <c r="A198" s="12">
        <v>45813</v>
      </c>
      <c r="B198" s="10" t="s">
        <v>80</v>
      </c>
      <c r="C198" s="27">
        <v>3401</v>
      </c>
      <c r="D198" s="11">
        <v>29</v>
      </c>
      <c r="E198" s="7">
        <f t="shared" si="15"/>
        <v>117.27586206896552</v>
      </c>
      <c r="F198" s="10">
        <v>1123</v>
      </c>
      <c r="G198" s="10" t="s">
        <v>12</v>
      </c>
      <c r="H198" s="8">
        <f t="shared" si="16"/>
        <v>1608550</v>
      </c>
      <c r="I198" s="9">
        <f t="shared" si="16"/>
        <v>28920</v>
      </c>
    </row>
    <row r="199" spans="1:9">
      <c r="A199" s="12">
        <v>45814</v>
      </c>
      <c r="B199" s="10" t="s">
        <v>81</v>
      </c>
      <c r="C199" s="27">
        <v>6820</v>
      </c>
      <c r="D199" s="11">
        <v>54</v>
      </c>
      <c r="E199" s="7">
        <f t="shared" si="15"/>
        <v>126.29629629629629</v>
      </c>
      <c r="F199" s="10">
        <v>1072</v>
      </c>
      <c r="G199" s="10" t="s">
        <v>10</v>
      </c>
      <c r="H199" s="8">
        <f t="shared" si="16"/>
        <v>1615370</v>
      </c>
      <c r="I199" s="9">
        <f t="shared" si="16"/>
        <v>28974</v>
      </c>
    </row>
    <row r="200" spans="1:9">
      <c r="A200" s="12">
        <v>45814</v>
      </c>
      <c r="B200" s="10" t="s">
        <v>81</v>
      </c>
      <c r="C200" s="27">
        <v>3048</v>
      </c>
      <c r="D200" s="11">
        <v>30</v>
      </c>
      <c r="E200" s="7">
        <f t="shared" si="15"/>
        <v>101.6</v>
      </c>
      <c r="F200" s="10">
        <v>1123</v>
      </c>
      <c r="G200" s="10" t="s">
        <v>12</v>
      </c>
      <c r="H200" s="8">
        <f t="shared" si="16"/>
        <v>1618418</v>
      </c>
      <c r="I200" s="9">
        <f t="shared" si="16"/>
        <v>29004</v>
      </c>
    </row>
    <row r="201" spans="1:9">
      <c r="A201" s="12">
        <v>45815</v>
      </c>
      <c r="B201" s="10" t="s">
        <v>81</v>
      </c>
      <c r="C201" s="27">
        <v>3174</v>
      </c>
      <c r="D201" s="11">
        <v>35</v>
      </c>
      <c r="E201" s="7">
        <f t="shared" si="15"/>
        <v>90.685714285714283</v>
      </c>
      <c r="F201" s="10">
        <v>1123</v>
      </c>
      <c r="G201" s="10" t="s">
        <v>12</v>
      </c>
      <c r="H201" s="8">
        <f t="shared" si="16"/>
        <v>1621592</v>
      </c>
      <c r="I201" s="9">
        <f t="shared" si="16"/>
        <v>29039</v>
      </c>
    </row>
    <row r="202" spans="1:9">
      <c r="A202" s="12">
        <v>45815</v>
      </c>
      <c r="B202" s="10" t="s">
        <v>81</v>
      </c>
      <c r="C202" s="27">
        <v>4610</v>
      </c>
      <c r="D202" s="11">
        <v>40</v>
      </c>
      <c r="E202" s="7">
        <f t="shared" si="15"/>
        <v>115.25</v>
      </c>
      <c r="F202" s="10">
        <v>1072</v>
      </c>
      <c r="G202" s="10" t="s">
        <v>10</v>
      </c>
      <c r="H202" s="8">
        <f t="shared" si="16"/>
        <v>1626202</v>
      </c>
      <c r="I202" s="9">
        <f t="shared" si="16"/>
        <v>29079</v>
      </c>
    </row>
    <row r="203" spans="1:9">
      <c r="A203" s="12">
        <v>45817</v>
      </c>
      <c r="B203" s="10" t="s">
        <v>82</v>
      </c>
      <c r="C203" s="27">
        <v>4414</v>
      </c>
      <c r="D203" s="11">
        <v>36</v>
      </c>
      <c r="E203" s="7">
        <f t="shared" si="15"/>
        <v>122.61111111111111</v>
      </c>
      <c r="F203" s="10">
        <v>1123</v>
      </c>
      <c r="G203" s="10" t="s">
        <v>12</v>
      </c>
      <c r="H203" s="8">
        <f t="shared" si="16"/>
        <v>1630616</v>
      </c>
      <c r="I203" s="9">
        <f t="shared" si="16"/>
        <v>29115</v>
      </c>
    </row>
    <row r="204" spans="1:9">
      <c r="A204" s="12">
        <v>45818</v>
      </c>
      <c r="B204" s="10" t="s">
        <v>82</v>
      </c>
      <c r="C204" s="27">
        <v>11635</v>
      </c>
      <c r="D204" s="11">
        <v>95</v>
      </c>
      <c r="E204" s="7">
        <f t="shared" si="15"/>
        <v>122.47368421052632</v>
      </c>
      <c r="F204" s="10">
        <v>1072</v>
      </c>
      <c r="G204" s="10" t="s">
        <v>10</v>
      </c>
      <c r="H204" s="8">
        <f t="shared" si="16"/>
        <v>1642251</v>
      </c>
      <c r="I204" s="9">
        <f t="shared" si="16"/>
        <v>29210</v>
      </c>
    </row>
    <row r="205" spans="1:9">
      <c r="A205" s="12">
        <v>45818</v>
      </c>
      <c r="B205" s="10" t="s">
        <v>82</v>
      </c>
      <c r="C205" s="27">
        <v>14531</v>
      </c>
      <c r="D205" s="11">
        <v>127</v>
      </c>
      <c r="E205" s="7">
        <f t="shared" si="15"/>
        <v>114.41732283464567</v>
      </c>
      <c r="F205" s="10">
        <v>1123</v>
      </c>
      <c r="G205" s="10" t="s">
        <v>12</v>
      </c>
      <c r="H205" s="8">
        <f t="shared" si="16"/>
        <v>1656782</v>
      </c>
      <c r="I205" s="9">
        <f t="shared" si="16"/>
        <v>29337</v>
      </c>
    </row>
    <row r="206" spans="1:9">
      <c r="A206" s="12">
        <v>45819</v>
      </c>
      <c r="B206" s="10" t="s">
        <v>83</v>
      </c>
      <c r="C206" s="27">
        <v>9535</v>
      </c>
      <c r="D206" s="11">
        <v>70</v>
      </c>
      <c r="E206" s="7">
        <f t="shared" si="15"/>
        <v>136.21428571428572</v>
      </c>
      <c r="F206" s="10">
        <v>1072</v>
      </c>
      <c r="G206" s="10" t="s">
        <v>10</v>
      </c>
      <c r="H206" s="8">
        <f t="shared" si="16"/>
        <v>1666317</v>
      </c>
      <c r="I206" s="9">
        <f t="shared" si="16"/>
        <v>29407</v>
      </c>
    </row>
    <row r="207" spans="1:9">
      <c r="A207" s="12">
        <v>45820</v>
      </c>
      <c r="B207" s="10" t="s">
        <v>83</v>
      </c>
      <c r="C207" s="27">
        <v>3649</v>
      </c>
      <c r="D207" s="11">
        <v>27</v>
      </c>
      <c r="E207" s="7">
        <f t="shared" si="15"/>
        <v>135.14814814814815</v>
      </c>
      <c r="F207" s="10">
        <v>1123</v>
      </c>
      <c r="G207" s="10" t="s">
        <v>12</v>
      </c>
      <c r="H207" s="8">
        <f t="shared" si="16"/>
        <v>1669966</v>
      </c>
      <c r="I207" s="9">
        <f t="shared" si="16"/>
        <v>29434</v>
      </c>
    </row>
    <row r="208" spans="1:9">
      <c r="A208" s="12">
        <v>45821</v>
      </c>
      <c r="B208" s="10" t="s">
        <v>83</v>
      </c>
      <c r="C208" s="27">
        <v>9851</v>
      </c>
      <c r="D208" s="11">
        <v>80</v>
      </c>
      <c r="E208" s="7">
        <f t="shared" si="15"/>
        <v>123.1375</v>
      </c>
      <c r="F208" s="10">
        <v>1123</v>
      </c>
      <c r="G208" s="10" t="s">
        <v>12</v>
      </c>
      <c r="H208" s="8">
        <f>H207+C208</f>
        <v>1679817</v>
      </c>
      <c r="I208" s="9">
        <f>I207+D208</f>
        <v>29514</v>
      </c>
    </row>
    <row r="209" spans="1:9">
      <c r="A209" s="12">
        <v>45821</v>
      </c>
      <c r="B209" s="10" t="s">
        <v>83</v>
      </c>
      <c r="C209" s="27">
        <v>2468</v>
      </c>
      <c r="D209" s="11">
        <v>22</v>
      </c>
      <c r="E209" s="7">
        <f t="shared" si="15"/>
        <v>112.18181818181819</v>
      </c>
      <c r="F209" s="10">
        <v>1072</v>
      </c>
      <c r="G209" s="10" t="s">
        <v>10</v>
      </c>
      <c r="H209" s="8">
        <f t="shared" si="16"/>
        <v>1682285</v>
      </c>
      <c r="I209" s="9">
        <f t="shared" si="16"/>
        <v>29536</v>
      </c>
    </row>
    <row r="210" spans="1:9">
      <c r="A210" s="12">
        <v>45822</v>
      </c>
      <c r="B210" s="10" t="s">
        <v>83</v>
      </c>
      <c r="C210" s="27">
        <v>6606</v>
      </c>
      <c r="D210" s="11">
        <v>49</v>
      </c>
      <c r="E210" s="7">
        <f t="shared" si="15"/>
        <v>134.81632653061226</v>
      </c>
      <c r="F210" s="10">
        <v>1123</v>
      </c>
      <c r="G210" s="10" t="s">
        <v>12</v>
      </c>
      <c r="H210" s="8">
        <f t="shared" si="16"/>
        <v>1688891</v>
      </c>
      <c r="I210" s="9">
        <f t="shared" si="16"/>
        <v>29585</v>
      </c>
    </row>
    <row r="211" spans="1:9">
      <c r="A211" s="12">
        <v>45822</v>
      </c>
      <c r="B211" s="10" t="s">
        <v>83</v>
      </c>
      <c r="C211" s="27">
        <v>4130</v>
      </c>
      <c r="D211" s="11">
        <v>31</v>
      </c>
      <c r="E211" s="7">
        <f t="shared" si="15"/>
        <v>133.2258064516129</v>
      </c>
      <c r="F211" s="10">
        <v>1072</v>
      </c>
      <c r="G211" s="10" t="s">
        <v>10</v>
      </c>
      <c r="H211" s="8">
        <f t="shared" ref="H211:I226" si="17">H210+C211</f>
        <v>1693021</v>
      </c>
      <c r="I211" s="9">
        <f t="shared" si="17"/>
        <v>29616</v>
      </c>
    </row>
    <row r="212" spans="1:9">
      <c r="A212" s="12">
        <v>45824</v>
      </c>
      <c r="B212" s="10" t="s">
        <v>83</v>
      </c>
      <c r="C212" s="27">
        <v>2327</v>
      </c>
      <c r="D212" s="11">
        <v>33</v>
      </c>
      <c r="E212" s="7">
        <f t="shared" si="15"/>
        <v>70.515151515151516</v>
      </c>
      <c r="F212" s="10">
        <v>1123</v>
      </c>
      <c r="G212" s="10" t="s">
        <v>12</v>
      </c>
      <c r="H212" s="8">
        <f t="shared" si="17"/>
        <v>1695348</v>
      </c>
      <c r="I212" s="9">
        <f t="shared" si="17"/>
        <v>29649</v>
      </c>
    </row>
    <row r="213" spans="1:9">
      <c r="A213" s="12">
        <v>45824</v>
      </c>
      <c r="B213" s="10" t="s">
        <v>83</v>
      </c>
      <c r="C213" s="27">
        <v>6536</v>
      </c>
      <c r="D213" s="11">
        <v>50</v>
      </c>
      <c r="E213" s="7">
        <f t="shared" si="15"/>
        <v>130.72</v>
      </c>
      <c r="F213" s="10">
        <v>1072</v>
      </c>
      <c r="G213" s="10" t="s">
        <v>10</v>
      </c>
      <c r="H213" s="8">
        <f t="shared" si="17"/>
        <v>1701884</v>
      </c>
      <c r="I213" s="9">
        <f t="shared" si="17"/>
        <v>29699</v>
      </c>
    </row>
    <row r="214" spans="1:9">
      <c r="A214" s="12">
        <v>45825</v>
      </c>
      <c r="B214" s="10" t="s">
        <v>84</v>
      </c>
      <c r="C214" s="27">
        <v>6498</v>
      </c>
      <c r="D214" s="11">
        <v>44</v>
      </c>
      <c r="E214" s="7">
        <f t="shared" si="15"/>
        <v>147.68181818181819</v>
      </c>
      <c r="F214" s="10">
        <v>1072</v>
      </c>
      <c r="G214" s="10" t="s">
        <v>10</v>
      </c>
      <c r="H214" s="8">
        <f t="shared" si="17"/>
        <v>1708382</v>
      </c>
      <c r="I214" s="9">
        <f t="shared" si="17"/>
        <v>29743</v>
      </c>
    </row>
    <row r="215" spans="1:9">
      <c r="A215" s="12">
        <v>45825</v>
      </c>
      <c r="B215" s="10" t="s">
        <v>84</v>
      </c>
      <c r="C215" s="27">
        <v>5385</v>
      </c>
      <c r="D215" s="11">
        <v>38</v>
      </c>
      <c r="E215" s="7">
        <f t="shared" si="15"/>
        <v>141.71052631578948</v>
      </c>
      <c r="F215" s="10">
        <v>1123</v>
      </c>
      <c r="G215" s="10" t="s">
        <v>12</v>
      </c>
      <c r="H215" s="8">
        <f t="shared" si="17"/>
        <v>1713767</v>
      </c>
      <c r="I215" s="9">
        <f t="shared" si="17"/>
        <v>29781</v>
      </c>
    </row>
    <row r="216" spans="1:9">
      <c r="A216" s="12">
        <v>45826</v>
      </c>
      <c r="B216" s="10" t="s">
        <v>84</v>
      </c>
      <c r="C216" s="27">
        <v>11590</v>
      </c>
      <c r="D216" s="11">
        <v>75</v>
      </c>
      <c r="E216" s="7">
        <f t="shared" si="15"/>
        <v>154.53333333333333</v>
      </c>
      <c r="F216" s="10">
        <v>1072</v>
      </c>
      <c r="G216" s="10" t="s">
        <v>10</v>
      </c>
      <c r="H216" s="8">
        <f t="shared" si="17"/>
        <v>1725357</v>
      </c>
      <c r="I216" s="9">
        <f t="shared" si="17"/>
        <v>29856</v>
      </c>
    </row>
    <row r="217" spans="1:9">
      <c r="A217" s="12">
        <v>45826</v>
      </c>
      <c r="B217" s="10" t="s">
        <v>84</v>
      </c>
      <c r="C217" s="27">
        <v>4189</v>
      </c>
      <c r="D217" s="11">
        <v>38</v>
      </c>
      <c r="E217" s="7">
        <f t="shared" si="15"/>
        <v>110.23684210526316</v>
      </c>
      <c r="F217" s="10">
        <v>1123</v>
      </c>
      <c r="G217" s="10" t="s">
        <v>12</v>
      </c>
      <c r="H217" s="8">
        <f t="shared" si="17"/>
        <v>1729546</v>
      </c>
      <c r="I217" s="9">
        <f t="shared" si="17"/>
        <v>29894</v>
      </c>
    </row>
    <row r="218" spans="1:9">
      <c r="A218" s="12">
        <v>45828</v>
      </c>
      <c r="B218" s="10" t="s">
        <v>85</v>
      </c>
      <c r="C218" s="27">
        <v>10871</v>
      </c>
      <c r="D218" s="11">
        <v>90</v>
      </c>
      <c r="E218" s="7">
        <f t="shared" si="15"/>
        <v>120.78888888888889</v>
      </c>
      <c r="F218" s="10">
        <v>1072</v>
      </c>
      <c r="G218" s="10" t="s">
        <v>10</v>
      </c>
      <c r="H218" s="8">
        <f t="shared" si="17"/>
        <v>1740417</v>
      </c>
      <c r="I218" s="9">
        <f t="shared" si="17"/>
        <v>29984</v>
      </c>
    </row>
    <row r="219" spans="1:9">
      <c r="A219" s="12">
        <v>45831</v>
      </c>
      <c r="B219" s="10" t="s">
        <v>85</v>
      </c>
      <c r="C219" s="27">
        <v>11560</v>
      </c>
      <c r="D219" s="11">
        <v>92</v>
      </c>
      <c r="E219" s="7">
        <f t="shared" si="15"/>
        <v>125.65217391304348</v>
      </c>
      <c r="F219" s="10">
        <v>1072</v>
      </c>
      <c r="G219" s="10" t="s">
        <v>10</v>
      </c>
      <c r="H219" s="8">
        <f t="shared" si="17"/>
        <v>1751977</v>
      </c>
      <c r="I219" s="9">
        <f t="shared" si="17"/>
        <v>30076</v>
      </c>
    </row>
    <row r="220" spans="1:9">
      <c r="A220" s="12">
        <v>45832</v>
      </c>
      <c r="B220" s="10" t="s">
        <v>85</v>
      </c>
      <c r="C220" s="27">
        <v>6819</v>
      </c>
      <c r="D220" s="11">
        <v>58</v>
      </c>
      <c r="E220" s="7">
        <f t="shared" si="15"/>
        <v>117.56896551724138</v>
      </c>
      <c r="F220" s="10">
        <v>1123</v>
      </c>
      <c r="G220" s="10" t="s">
        <v>12</v>
      </c>
      <c r="H220" s="8">
        <f t="shared" si="17"/>
        <v>1758796</v>
      </c>
      <c r="I220" s="9">
        <f t="shared" si="17"/>
        <v>30134</v>
      </c>
    </row>
    <row r="221" spans="1:9">
      <c r="A221" s="12">
        <v>45835</v>
      </c>
      <c r="B221" s="10" t="s">
        <v>86</v>
      </c>
      <c r="C221" s="27">
        <v>5021</v>
      </c>
      <c r="D221" s="11">
        <v>42</v>
      </c>
      <c r="E221" s="7">
        <f t="shared" si="15"/>
        <v>119.54761904761905</v>
      </c>
      <c r="F221" s="10">
        <v>1123</v>
      </c>
      <c r="G221" s="10" t="s">
        <v>12</v>
      </c>
      <c r="H221" s="8">
        <f t="shared" si="17"/>
        <v>1763817</v>
      </c>
      <c r="I221" s="9">
        <f t="shared" si="17"/>
        <v>30176</v>
      </c>
    </row>
    <row r="222" spans="1:9">
      <c r="A222" s="12">
        <v>45839</v>
      </c>
      <c r="B222" s="10" t="s">
        <v>87</v>
      </c>
      <c r="C222" s="27">
        <v>7490</v>
      </c>
      <c r="D222" s="11">
        <v>63</v>
      </c>
      <c r="E222" s="7">
        <f t="shared" si="15"/>
        <v>118.88888888888889</v>
      </c>
      <c r="F222" s="10">
        <v>1072</v>
      </c>
      <c r="G222" s="10" t="s">
        <v>10</v>
      </c>
      <c r="H222" s="8">
        <f t="shared" si="17"/>
        <v>1771307</v>
      </c>
      <c r="I222" s="9">
        <f t="shared" si="17"/>
        <v>30239</v>
      </c>
    </row>
    <row r="223" spans="1:9">
      <c r="A223" s="12">
        <v>45839</v>
      </c>
      <c r="B223" s="10" t="s">
        <v>88</v>
      </c>
      <c r="C223" s="27">
        <v>9642</v>
      </c>
      <c r="D223" s="11">
        <v>84</v>
      </c>
      <c r="E223" s="7">
        <f t="shared" si="15"/>
        <v>114.78571428571429</v>
      </c>
      <c r="F223" s="10">
        <v>1123</v>
      </c>
      <c r="G223" s="10" t="s">
        <v>12</v>
      </c>
      <c r="H223" s="8">
        <f t="shared" si="17"/>
        <v>1780949</v>
      </c>
      <c r="I223" s="9">
        <f t="shared" si="17"/>
        <v>30323</v>
      </c>
    </row>
    <row r="224" spans="1:9">
      <c r="A224" s="12">
        <v>45839</v>
      </c>
      <c r="B224" s="10" t="s">
        <v>88</v>
      </c>
      <c r="C224" s="27">
        <v>3160</v>
      </c>
      <c r="D224" s="11">
        <v>26</v>
      </c>
      <c r="E224" s="7">
        <f t="shared" si="15"/>
        <v>121.53846153846153</v>
      </c>
      <c r="F224" s="10">
        <v>1072</v>
      </c>
      <c r="G224" s="10" t="s">
        <v>10</v>
      </c>
      <c r="H224" s="8">
        <f t="shared" si="17"/>
        <v>1784109</v>
      </c>
      <c r="I224" s="9">
        <f t="shared" si="17"/>
        <v>30349</v>
      </c>
    </row>
    <row r="225" spans="1:9">
      <c r="A225" s="12">
        <v>45839</v>
      </c>
      <c r="B225" s="10" t="s">
        <v>88</v>
      </c>
      <c r="C225" s="27">
        <v>10765</v>
      </c>
      <c r="D225" s="11">
        <v>96</v>
      </c>
      <c r="E225" s="7">
        <f t="shared" si="15"/>
        <v>112.13541666666667</v>
      </c>
      <c r="F225" s="10">
        <v>1072</v>
      </c>
      <c r="G225" s="10" t="s">
        <v>10</v>
      </c>
      <c r="H225" s="8">
        <f t="shared" si="17"/>
        <v>1794874</v>
      </c>
      <c r="I225" s="9">
        <f t="shared" si="17"/>
        <v>30445</v>
      </c>
    </row>
    <row r="226" spans="1:9">
      <c r="A226" s="12">
        <v>45841</v>
      </c>
      <c r="B226" s="10" t="s">
        <v>88</v>
      </c>
      <c r="C226" s="27">
        <v>1385</v>
      </c>
      <c r="D226" s="11">
        <v>13</v>
      </c>
      <c r="E226" s="7">
        <f t="shared" si="15"/>
        <v>106.53846153846153</v>
      </c>
      <c r="F226" s="10">
        <v>1123</v>
      </c>
      <c r="G226" s="10" t="s">
        <v>12</v>
      </c>
      <c r="H226" s="8">
        <f t="shared" si="17"/>
        <v>1796259</v>
      </c>
      <c r="I226" s="9">
        <f t="shared" si="17"/>
        <v>30458</v>
      </c>
    </row>
    <row r="227" spans="1:9">
      <c r="A227" s="12">
        <v>45845</v>
      </c>
      <c r="B227" s="10" t="s">
        <v>89</v>
      </c>
      <c r="C227" s="27">
        <v>10160</v>
      </c>
      <c r="D227" s="11">
        <v>81</v>
      </c>
      <c r="E227" s="7">
        <f t="shared" si="15"/>
        <v>125.4320987654321</v>
      </c>
      <c r="F227" s="10">
        <v>1072</v>
      </c>
      <c r="G227" s="10" t="s">
        <v>10</v>
      </c>
      <c r="H227" s="8">
        <f t="shared" ref="H227:I242" si="18">H226+C227</f>
        <v>1806419</v>
      </c>
      <c r="I227" s="9">
        <f t="shared" si="18"/>
        <v>30539</v>
      </c>
    </row>
    <row r="228" spans="1:9">
      <c r="A228" s="12">
        <v>45845</v>
      </c>
      <c r="B228" s="10" t="s">
        <v>89</v>
      </c>
      <c r="C228" s="27">
        <v>20426</v>
      </c>
      <c r="D228" s="11">
        <v>162</v>
      </c>
      <c r="E228" s="7">
        <f t="shared" si="15"/>
        <v>126.08641975308642</v>
      </c>
      <c r="F228" s="10">
        <v>1123</v>
      </c>
      <c r="G228" s="10" t="s">
        <v>12</v>
      </c>
      <c r="H228" s="8">
        <f t="shared" si="18"/>
        <v>1826845</v>
      </c>
      <c r="I228" s="9">
        <f t="shared" si="18"/>
        <v>30701</v>
      </c>
    </row>
    <row r="229" spans="1:9">
      <c r="A229" s="12">
        <v>45847</v>
      </c>
      <c r="B229" s="10" t="s">
        <v>90</v>
      </c>
      <c r="C229" s="27">
        <v>15433</v>
      </c>
      <c r="D229" s="11">
        <v>129</v>
      </c>
      <c r="E229" s="7">
        <f t="shared" si="15"/>
        <v>119.63565891472868</v>
      </c>
      <c r="F229" s="10">
        <v>1072</v>
      </c>
      <c r="G229" s="10" t="s">
        <v>10</v>
      </c>
      <c r="H229" s="8">
        <f t="shared" si="18"/>
        <v>1842278</v>
      </c>
      <c r="I229" s="9">
        <f t="shared" si="18"/>
        <v>30830</v>
      </c>
    </row>
    <row r="230" spans="1:9">
      <c r="A230" s="12">
        <v>45847</v>
      </c>
      <c r="B230" s="10" t="s">
        <v>90</v>
      </c>
      <c r="C230" s="27">
        <v>10369</v>
      </c>
      <c r="D230" s="11">
        <v>87</v>
      </c>
      <c r="E230" s="7">
        <f t="shared" si="15"/>
        <v>119.18390804597701</v>
      </c>
      <c r="F230" s="10">
        <v>1123</v>
      </c>
      <c r="G230" s="10" t="s">
        <v>12</v>
      </c>
      <c r="H230" s="8">
        <f t="shared" si="18"/>
        <v>1852647</v>
      </c>
      <c r="I230" s="9">
        <f t="shared" si="18"/>
        <v>30917</v>
      </c>
    </row>
    <row r="231" spans="1:9">
      <c r="A231" s="12">
        <v>45848</v>
      </c>
      <c r="B231" s="10" t="s">
        <v>90</v>
      </c>
      <c r="C231" s="27">
        <v>6660</v>
      </c>
      <c r="D231" s="11">
        <v>56</v>
      </c>
      <c r="E231" s="7">
        <f t="shared" si="15"/>
        <v>118.92857142857143</v>
      </c>
      <c r="F231" s="10">
        <v>1072</v>
      </c>
      <c r="G231" s="10" t="s">
        <v>10</v>
      </c>
      <c r="H231" s="8">
        <f t="shared" si="18"/>
        <v>1859307</v>
      </c>
      <c r="I231" s="9">
        <f t="shared" si="18"/>
        <v>30973</v>
      </c>
    </row>
    <row r="232" spans="1:9">
      <c r="A232" s="12">
        <v>45848</v>
      </c>
      <c r="B232" s="10" t="s">
        <v>90</v>
      </c>
      <c r="C232" s="27">
        <v>9079</v>
      </c>
      <c r="D232" s="11">
        <v>79</v>
      </c>
      <c r="E232" s="7">
        <f t="shared" si="15"/>
        <v>114.92405063291139</v>
      </c>
      <c r="F232" s="10">
        <v>1123</v>
      </c>
      <c r="G232" s="10" t="s">
        <v>12</v>
      </c>
      <c r="H232" s="8">
        <f t="shared" si="18"/>
        <v>1868386</v>
      </c>
      <c r="I232" s="9">
        <f t="shared" si="18"/>
        <v>31052</v>
      </c>
    </row>
    <row r="233" spans="1:9">
      <c r="A233" s="12">
        <v>45853</v>
      </c>
      <c r="B233" s="10" t="s">
        <v>91</v>
      </c>
      <c r="C233" s="27">
        <v>4007</v>
      </c>
      <c r="D233" s="11">
        <v>35</v>
      </c>
      <c r="E233" s="7">
        <f t="shared" si="15"/>
        <v>114.48571428571428</v>
      </c>
      <c r="F233" s="10">
        <v>1072</v>
      </c>
      <c r="G233" s="10" t="s">
        <v>10</v>
      </c>
      <c r="H233" s="8">
        <f t="shared" si="18"/>
        <v>1872393</v>
      </c>
      <c r="I233" s="9">
        <f t="shared" si="18"/>
        <v>31087</v>
      </c>
    </row>
    <row r="234" spans="1:9">
      <c r="A234" s="12">
        <v>45853</v>
      </c>
      <c r="B234" s="10" t="s">
        <v>91</v>
      </c>
      <c r="C234" s="27">
        <v>6555</v>
      </c>
      <c r="D234" s="11">
        <v>62</v>
      </c>
      <c r="E234" s="7">
        <f t="shared" si="15"/>
        <v>105.7258064516129</v>
      </c>
      <c r="F234" s="10">
        <v>1123</v>
      </c>
      <c r="G234" s="10" t="s">
        <v>12</v>
      </c>
      <c r="H234" s="8">
        <f t="shared" si="18"/>
        <v>1878948</v>
      </c>
      <c r="I234" s="9">
        <f t="shared" si="18"/>
        <v>31149</v>
      </c>
    </row>
    <row r="235" spans="1:9">
      <c r="A235" s="12">
        <v>45854</v>
      </c>
      <c r="B235" s="10" t="s">
        <v>91</v>
      </c>
      <c r="C235" s="27">
        <v>7094</v>
      </c>
      <c r="D235" s="11">
        <v>64</v>
      </c>
      <c r="E235" s="7">
        <f t="shared" si="15"/>
        <v>110.84375</v>
      </c>
      <c r="F235" s="10">
        <v>1123</v>
      </c>
      <c r="G235" s="10" t="s">
        <v>12</v>
      </c>
      <c r="H235" s="8">
        <f t="shared" si="18"/>
        <v>1886042</v>
      </c>
      <c r="I235" s="9">
        <f t="shared" si="18"/>
        <v>31213</v>
      </c>
    </row>
    <row r="236" spans="1:9">
      <c r="A236" s="12">
        <v>45855</v>
      </c>
      <c r="B236" s="10" t="s">
        <v>91</v>
      </c>
      <c r="C236" s="27">
        <v>14421</v>
      </c>
      <c r="D236" s="11">
        <v>135</v>
      </c>
      <c r="E236" s="7">
        <f t="shared" si="15"/>
        <v>106.82222222222222</v>
      </c>
      <c r="F236" s="10">
        <v>1123</v>
      </c>
      <c r="G236" s="10" t="s">
        <v>12</v>
      </c>
      <c r="H236" s="8">
        <f t="shared" si="18"/>
        <v>1900463</v>
      </c>
      <c r="I236" s="9">
        <f t="shared" si="18"/>
        <v>31348</v>
      </c>
    </row>
    <row r="237" spans="1:9">
      <c r="A237" s="12">
        <v>45855</v>
      </c>
      <c r="B237" s="10" t="s">
        <v>91</v>
      </c>
      <c r="C237" s="27">
        <v>11660</v>
      </c>
      <c r="D237" s="11">
        <v>101</v>
      </c>
      <c r="E237" s="7">
        <f t="shared" si="15"/>
        <v>115.44554455445545</v>
      </c>
      <c r="F237" s="10">
        <v>1072</v>
      </c>
      <c r="G237" s="10" t="s">
        <v>10</v>
      </c>
      <c r="H237" s="8">
        <f t="shared" si="18"/>
        <v>1912123</v>
      </c>
      <c r="I237" s="9">
        <f t="shared" si="18"/>
        <v>31449</v>
      </c>
    </row>
    <row r="238" spans="1:9">
      <c r="A238" s="12">
        <v>45857</v>
      </c>
      <c r="B238" s="10" t="s">
        <v>92</v>
      </c>
      <c r="C238" s="27">
        <v>9295</v>
      </c>
      <c r="D238" s="11">
        <v>86</v>
      </c>
      <c r="E238" s="7">
        <f t="shared" si="15"/>
        <v>108.08139534883721</v>
      </c>
      <c r="F238" s="10">
        <v>1072</v>
      </c>
      <c r="G238" s="10" t="s">
        <v>10</v>
      </c>
      <c r="H238" s="8">
        <f t="shared" si="18"/>
        <v>1921418</v>
      </c>
      <c r="I238" s="9">
        <f t="shared" si="18"/>
        <v>31535</v>
      </c>
    </row>
    <row r="239" spans="1:9">
      <c r="A239" s="12">
        <v>45857</v>
      </c>
      <c r="B239" s="10" t="s">
        <v>92</v>
      </c>
      <c r="C239" s="27">
        <v>6229</v>
      </c>
      <c r="D239" s="11">
        <v>58</v>
      </c>
      <c r="E239" s="7">
        <f t="shared" si="15"/>
        <v>107.39655172413794</v>
      </c>
      <c r="F239" s="10">
        <v>1123</v>
      </c>
      <c r="G239" s="10" t="s">
        <v>12</v>
      </c>
      <c r="H239" s="8">
        <f t="shared" si="18"/>
        <v>1927647</v>
      </c>
      <c r="I239" s="9">
        <f t="shared" si="18"/>
        <v>31593</v>
      </c>
    </row>
    <row r="240" spans="1:9">
      <c r="A240" s="12">
        <v>45860</v>
      </c>
      <c r="B240" s="10" t="s">
        <v>92</v>
      </c>
      <c r="C240" s="27">
        <v>10154</v>
      </c>
      <c r="D240" s="11">
        <v>91</v>
      </c>
      <c r="E240" s="7">
        <f t="shared" si="15"/>
        <v>111.58241758241758</v>
      </c>
      <c r="F240" s="10">
        <v>1123</v>
      </c>
      <c r="G240" s="10" t="s">
        <v>12</v>
      </c>
      <c r="H240" s="8">
        <f t="shared" si="18"/>
        <v>1937801</v>
      </c>
      <c r="I240" s="9">
        <f t="shared" si="18"/>
        <v>31684</v>
      </c>
    </row>
    <row r="241" spans="1:9">
      <c r="A241" s="12">
        <v>45860</v>
      </c>
      <c r="B241" s="10" t="s">
        <v>92</v>
      </c>
      <c r="C241" s="27">
        <v>14277</v>
      </c>
      <c r="D241" s="11">
        <v>136</v>
      </c>
      <c r="E241" s="7">
        <f t="shared" si="15"/>
        <v>104.97794117647059</v>
      </c>
      <c r="F241" s="10">
        <v>1072</v>
      </c>
      <c r="G241" s="10" t="s">
        <v>10</v>
      </c>
      <c r="H241" s="8">
        <f t="shared" si="18"/>
        <v>1952078</v>
      </c>
      <c r="I241" s="9">
        <f t="shared" si="18"/>
        <v>31820</v>
      </c>
    </row>
    <row r="242" spans="1:9">
      <c r="A242" s="12">
        <v>45861</v>
      </c>
      <c r="B242" s="10" t="s">
        <v>93</v>
      </c>
      <c r="C242" s="27">
        <v>8888</v>
      </c>
      <c r="D242" s="11">
        <v>72</v>
      </c>
      <c r="E242" s="7">
        <f t="shared" si="15"/>
        <v>123.44444444444444</v>
      </c>
      <c r="F242" s="10">
        <v>1072</v>
      </c>
      <c r="G242" s="10" t="s">
        <v>10</v>
      </c>
      <c r="H242" s="8">
        <f t="shared" si="18"/>
        <v>1960966</v>
      </c>
      <c r="I242" s="9">
        <f t="shared" si="18"/>
        <v>31892</v>
      </c>
    </row>
    <row r="243" spans="1:9">
      <c r="A243" s="12">
        <v>45862</v>
      </c>
      <c r="B243" s="10" t="s">
        <v>93</v>
      </c>
      <c r="C243" s="27">
        <v>11630</v>
      </c>
      <c r="D243" s="11">
        <v>101</v>
      </c>
      <c r="E243" s="7">
        <f t="shared" si="15"/>
        <v>115.14851485148515</v>
      </c>
      <c r="F243" s="10">
        <v>1072</v>
      </c>
      <c r="G243" s="10" t="s">
        <v>10</v>
      </c>
      <c r="H243" s="8">
        <f t="shared" ref="H243:I258" si="19">H242+C243</f>
        <v>1972596</v>
      </c>
      <c r="I243" s="9">
        <f t="shared" si="19"/>
        <v>31993</v>
      </c>
    </row>
    <row r="244" spans="1:9">
      <c r="A244" s="12">
        <v>45862</v>
      </c>
      <c r="B244" s="10" t="s">
        <v>93</v>
      </c>
      <c r="C244" s="27">
        <v>17771</v>
      </c>
      <c r="D244" s="11">
        <v>155</v>
      </c>
      <c r="E244" s="7">
        <f t="shared" si="15"/>
        <v>114.65161290322581</v>
      </c>
      <c r="F244" s="10">
        <v>1123</v>
      </c>
      <c r="G244" s="10" t="s">
        <v>12</v>
      </c>
      <c r="H244" s="8">
        <f t="shared" si="19"/>
        <v>1990367</v>
      </c>
      <c r="I244" s="9">
        <f t="shared" si="19"/>
        <v>32148</v>
      </c>
    </row>
    <row r="245" spans="1:9">
      <c r="A245" s="12">
        <v>45866</v>
      </c>
      <c r="B245" s="10" t="s">
        <v>94</v>
      </c>
      <c r="C245" s="27">
        <v>10036</v>
      </c>
      <c r="D245" s="11">
        <v>96</v>
      </c>
      <c r="E245" s="7">
        <f t="shared" si="15"/>
        <v>104.54166666666667</v>
      </c>
      <c r="F245" s="10">
        <v>1123</v>
      </c>
      <c r="G245" s="10" t="s">
        <v>12</v>
      </c>
      <c r="H245" s="8">
        <f t="shared" si="19"/>
        <v>2000403</v>
      </c>
      <c r="I245" s="9">
        <f t="shared" si="19"/>
        <v>32244</v>
      </c>
    </row>
    <row r="246" spans="1:9">
      <c r="A246" s="12">
        <v>45867</v>
      </c>
      <c r="B246" s="10" t="s">
        <v>95</v>
      </c>
      <c r="C246" s="27">
        <v>8060</v>
      </c>
      <c r="D246" s="11">
        <v>83</v>
      </c>
      <c r="E246" s="7">
        <f t="shared" si="15"/>
        <v>97.108433734939766</v>
      </c>
      <c r="F246" s="10">
        <v>1072</v>
      </c>
      <c r="G246" s="10" t="s">
        <v>10</v>
      </c>
      <c r="H246" s="8">
        <f t="shared" si="19"/>
        <v>2008463</v>
      </c>
      <c r="I246" s="9">
        <f t="shared" si="19"/>
        <v>32327</v>
      </c>
    </row>
    <row r="247" spans="1:9">
      <c r="A247" s="12">
        <v>45867</v>
      </c>
      <c r="B247" s="10" t="s">
        <v>95</v>
      </c>
      <c r="C247" s="27">
        <v>11237</v>
      </c>
      <c r="D247" s="11">
        <v>119</v>
      </c>
      <c r="E247" s="7">
        <f t="shared" si="15"/>
        <v>94.428571428571431</v>
      </c>
      <c r="F247" s="10">
        <v>1123</v>
      </c>
      <c r="G247" s="10" t="s">
        <v>12</v>
      </c>
      <c r="H247" s="8">
        <f t="shared" si="19"/>
        <v>2019700</v>
      </c>
      <c r="I247" s="9">
        <f t="shared" si="19"/>
        <v>32446</v>
      </c>
    </row>
    <row r="248" spans="1:9">
      <c r="A248" s="12">
        <v>45868</v>
      </c>
      <c r="B248" s="10" t="s">
        <v>95</v>
      </c>
      <c r="C248" s="27">
        <v>3146</v>
      </c>
      <c r="D248" s="11">
        <v>38</v>
      </c>
      <c r="E248" s="7">
        <f t="shared" si="15"/>
        <v>82.78947368421052</v>
      </c>
      <c r="F248" s="10">
        <v>1072</v>
      </c>
      <c r="G248" s="10" t="s">
        <v>10</v>
      </c>
      <c r="H248" s="8">
        <f t="shared" si="19"/>
        <v>2022846</v>
      </c>
      <c r="I248" s="9">
        <f t="shared" si="19"/>
        <v>32484</v>
      </c>
    </row>
    <row r="249" spans="1:9">
      <c r="A249" s="12">
        <v>45869</v>
      </c>
      <c r="B249" s="10" t="s">
        <v>94</v>
      </c>
      <c r="C249" s="27">
        <v>6222</v>
      </c>
      <c r="D249" s="11">
        <v>56</v>
      </c>
      <c r="E249" s="7">
        <f t="shared" si="15"/>
        <v>111.10714285714286</v>
      </c>
      <c r="F249" s="10">
        <v>1072</v>
      </c>
      <c r="G249" s="10" t="s">
        <v>10</v>
      </c>
      <c r="H249" s="8">
        <f t="shared" si="19"/>
        <v>2029068</v>
      </c>
      <c r="I249" s="9">
        <f t="shared" si="19"/>
        <v>32540</v>
      </c>
    </row>
    <row r="250" spans="1:9">
      <c r="A250" s="12">
        <v>45869</v>
      </c>
      <c r="B250" s="10" t="s">
        <v>94</v>
      </c>
      <c r="C250" s="27">
        <v>9078</v>
      </c>
      <c r="D250" s="11">
        <v>81</v>
      </c>
      <c r="E250" s="7">
        <f t="shared" si="15"/>
        <v>112.07407407407408</v>
      </c>
      <c r="F250" s="10">
        <v>1123</v>
      </c>
      <c r="G250" s="10" t="s">
        <v>12</v>
      </c>
      <c r="H250" s="8">
        <f t="shared" si="19"/>
        <v>2038146</v>
      </c>
      <c r="I250" s="9">
        <f t="shared" si="19"/>
        <v>32621</v>
      </c>
    </row>
    <row r="251" spans="1:9">
      <c r="A251" s="12">
        <v>45870</v>
      </c>
      <c r="B251" s="10" t="s">
        <v>96</v>
      </c>
      <c r="C251" s="27">
        <v>5512</v>
      </c>
      <c r="D251" s="11">
        <v>48</v>
      </c>
      <c r="E251" s="7">
        <f t="shared" si="15"/>
        <v>114.83333333333333</v>
      </c>
      <c r="F251" s="10">
        <v>1072</v>
      </c>
      <c r="G251" s="10" t="s">
        <v>10</v>
      </c>
      <c r="H251" s="8">
        <f t="shared" si="19"/>
        <v>2043658</v>
      </c>
      <c r="I251" s="9">
        <f t="shared" si="19"/>
        <v>32669</v>
      </c>
    </row>
    <row r="252" spans="1:9">
      <c r="A252" s="12">
        <v>45870</v>
      </c>
      <c r="B252" s="10" t="s">
        <v>96</v>
      </c>
      <c r="C252" s="27">
        <v>6676</v>
      </c>
      <c r="D252" s="11">
        <v>58</v>
      </c>
      <c r="E252" s="7">
        <f t="shared" si="15"/>
        <v>115.10344827586206</v>
      </c>
      <c r="F252" s="10">
        <v>1123</v>
      </c>
      <c r="G252" s="10" t="s">
        <v>12</v>
      </c>
      <c r="H252" s="8">
        <f t="shared" si="19"/>
        <v>2050334</v>
      </c>
      <c r="I252" s="9">
        <f t="shared" si="19"/>
        <v>32727</v>
      </c>
    </row>
    <row r="253" spans="1:9">
      <c r="A253" s="12">
        <v>45871</v>
      </c>
      <c r="B253" s="10" t="s">
        <v>96</v>
      </c>
      <c r="C253" s="27">
        <v>6897</v>
      </c>
      <c r="D253" s="11">
        <v>84</v>
      </c>
      <c r="E253" s="7">
        <f t="shared" si="15"/>
        <v>82.107142857142861</v>
      </c>
      <c r="F253" s="10">
        <v>1123</v>
      </c>
      <c r="G253" s="10" t="s">
        <v>12</v>
      </c>
      <c r="H253" s="8">
        <f t="shared" si="19"/>
        <v>2057231</v>
      </c>
      <c r="I253" s="9">
        <f t="shared" si="19"/>
        <v>32811</v>
      </c>
    </row>
    <row r="254" spans="1:9">
      <c r="A254" s="12">
        <v>45871</v>
      </c>
      <c r="B254" s="10" t="s">
        <v>96</v>
      </c>
      <c r="C254" s="27">
        <v>9600</v>
      </c>
      <c r="D254" s="11">
        <v>81</v>
      </c>
      <c r="E254" s="7">
        <f t="shared" si="15"/>
        <v>118.51851851851852</v>
      </c>
      <c r="F254" s="10">
        <v>1072</v>
      </c>
      <c r="G254" s="10" t="s">
        <v>10</v>
      </c>
      <c r="H254" s="8">
        <f t="shared" si="19"/>
        <v>2066831</v>
      </c>
      <c r="I254" s="9">
        <f t="shared" si="19"/>
        <v>32892</v>
      </c>
    </row>
    <row r="255" spans="1:9">
      <c r="A255" s="12">
        <v>45873</v>
      </c>
      <c r="B255" s="10" t="s">
        <v>96</v>
      </c>
      <c r="C255" s="27">
        <v>5430</v>
      </c>
      <c r="D255" s="11">
        <v>58</v>
      </c>
      <c r="E255" s="7">
        <f t="shared" si="15"/>
        <v>93.620689655172413</v>
      </c>
      <c r="F255" s="10">
        <v>1123</v>
      </c>
      <c r="G255" s="10" t="s">
        <v>12</v>
      </c>
      <c r="H255" s="8">
        <f t="shared" si="19"/>
        <v>2072261</v>
      </c>
      <c r="I255" s="9">
        <f t="shared" si="19"/>
        <v>32950</v>
      </c>
    </row>
    <row r="256" spans="1:9">
      <c r="A256" s="12">
        <v>45873</v>
      </c>
      <c r="B256" s="10" t="s">
        <v>96</v>
      </c>
      <c r="C256" s="27">
        <v>8734</v>
      </c>
      <c r="D256" s="11">
        <v>84</v>
      </c>
      <c r="E256" s="7">
        <f t="shared" si="15"/>
        <v>103.97619047619048</v>
      </c>
      <c r="F256" s="10">
        <v>1072</v>
      </c>
      <c r="G256" s="10" t="s">
        <v>10</v>
      </c>
      <c r="H256" s="8">
        <f t="shared" si="19"/>
        <v>2080995</v>
      </c>
      <c r="I256" s="9">
        <f t="shared" si="19"/>
        <v>33034</v>
      </c>
    </row>
    <row r="257" spans="1:9">
      <c r="A257" s="12">
        <v>45874</v>
      </c>
      <c r="B257" s="10" t="s">
        <v>97</v>
      </c>
      <c r="C257" s="27">
        <v>9700</v>
      </c>
      <c r="D257" s="11">
        <v>87</v>
      </c>
      <c r="E257" s="7">
        <f t="shared" si="15"/>
        <v>111.49425287356321</v>
      </c>
      <c r="F257" s="10">
        <v>1123</v>
      </c>
      <c r="G257" s="10" t="s">
        <v>12</v>
      </c>
      <c r="H257" s="8">
        <f t="shared" si="19"/>
        <v>2090695</v>
      </c>
      <c r="I257" s="9">
        <f t="shared" si="19"/>
        <v>33121</v>
      </c>
    </row>
    <row r="258" spans="1:9">
      <c r="A258" s="12">
        <v>45875</v>
      </c>
      <c r="B258" s="10" t="s">
        <v>97</v>
      </c>
      <c r="C258" s="27">
        <v>4361</v>
      </c>
      <c r="D258" s="11">
        <v>32</v>
      </c>
      <c r="E258" s="7">
        <f t="shared" ref="E258:E321" si="20">IF(D258&gt;0,(C258/D258),"*")</f>
        <v>136.28125</v>
      </c>
      <c r="F258" s="10">
        <v>1072</v>
      </c>
      <c r="G258" s="10" t="s">
        <v>10</v>
      </c>
      <c r="H258" s="8">
        <f t="shared" si="19"/>
        <v>2095056</v>
      </c>
      <c r="I258" s="9">
        <f t="shared" si="19"/>
        <v>33153</v>
      </c>
    </row>
    <row r="259" spans="1:9">
      <c r="A259" s="12">
        <v>45875</v>
      </c>
      <c r="B259" s="10" t="s">
        <v>97</v>
      </c>
      <c r="C259" s="27">
        <v>18252</v>
      </c>
      <c r="D259" s="11">
        <v>151</v>
      </c>
      <c r="E259" s="7">
        <f t="shared" si="20"/>
        <v>120.87417218543047</v>
      </c>
      <c r="F259" s="10">
        <v>1123</v>
      </c>
      <c r="G259" s="10" t="s">
        <v>12</v>
      </c>
      <c r="H259" s="8">
        <f t="shared" ref="H259:I274" si="21">H258+C259</f>
        <v>2113308</v>
      </c>
      <c r="I259" s="9">
        <f t="shared" si="21"/>
        <v>33304</v>
      </c>
    </row>
    <row r="260" spans="1:9">
      <c r="A260" s="12">
        <v>45875</v>
      </c>
      <c r="B260" s="10" t="s">
        <v>97</v>
      </c>
      <c r="C260" s="27">
        <v>14982</v>
      </c>
      <c r="D260" s="11">
        <v>117</v>
      </c>
      <c r="E260" s="7">
        <f t="shared" si="20"/>
        <v>128.05128205128204</v>
      </c>
      <c r="F260" s="10">
        <v>1072</v>
      </c>
      <c r="G260" s="10" t="s">
        <v>10</v>
      </c>
      <c r="H260" s="8">
        <f t="shared" si="21"/>
        <v>2128290</v>
      </c>
      <c r="I260" s="9">
        <f t="shared" si="21"/>
        <v>33421</v>
      </c>
    </row>
    <row r="261" spans="1:9">
      <c r="A261" s="12">
        <v>45876</v>
      </c>
      <c r="B261" s="10" t="s">
        <v>97</v>
      </c>
      <c r="C261" s="27">
        <v>7700</v>
      </c>
      <c r="D261" s="11">
        <v>58</v>
      </c>
      <c r="E261" s="7">
        <f t="shared" si="20"/>
        <v>132.75862068965517</v>
      </c>
      <c r="F261" s="10">
        <v>1123</v>
      </c>
      <c r="G261" s="10" t="s">
        <v>12</v>
      </c>
      <c r="H261" s="8">
        <f t="shared" si="21"/>
        <v>2135990</v>
      </c>
      <c r="I261" s="9">
        <f t="shared" si="21"/>
        <v>33479</v>
      </c>
    </row>
    <row r="262" spans="1:9">
      <c r="A262" s="12">
        <v>45876</v>
      </c>
      <c r="B262" s="10" t="s">
        <v>97</v>
      </c>
      <c r="C262" s="27">
        <v>2908</v>
      </c>
      <c r="D262" s="11">
        <v>30</v>
      </c>
      <c r="E262" s="7">
        <f t="shared" si="20"/>
        <v>96.933333333333337</v>
      </c>
      <c r="F262" s="10">
        <v>1072</v>
      </c>
      <c r="G262" s="10" t="s">
        <v>10</v>
      </c>
      <c r="H262" s="8">
        <f t="shared" si="21"/>
        <v>2138898</v>
      </c>
      <c r="I262" s="9">
        <f t="shared" si="21"/>
        <v>33509</v>
      </c>
    </row>
    <row r="263" spans="1:9">
      <c r="A263" s="12">
        <v>45876</v>
      </c>
      <c r="B263" s="10" t="s">
        <v>98</v>
      </c>
      <c r="C263" s="27">
        <v>2487</v>
      </c>
      <c r="D263" s="11">
        <v>44</v>
      </c>
      <c r="E263" s="7">
        <f t="shared" si="20"/>
        <v>56.522727272727273</v>
      </c>
      <c r="F263" s="10">
        <v>1123</v>
      </c>
      <c r="G263" s="10" t="s">
        <v>12</v>
      </c>
      <c r="H263" s="8">
        <f t="shared" si="21"/>
        <v>2141385</v>
      </c>
      <c r="I263" s="9">
        <f t="shared" si="21"/>
        <v>33553</v>
      </c>
    </row>
    <row r="264" spans="1:9">
      <c r="A264" s="12">
        <v>45880</v>
      </c>
      <c r="B264" s="10" t="s">
        <v>99</v>
      </c>
      <c r="C264" s="27">
        <v>6529</v>
      </c>
      <c r="D264" s="11">
        <v>53</v>
      </c>
      <c r="E264" s="7">
        <f t="shared" si="20"/>
        <v>123.18867924528301</v>
      </c>
      <c r="F264" s="10">
        <v>1123</v>
      </c>
      <c r="G264" s="10" t="s">
        <v>12</v>
      </c>
      <c r="H264" s="8">
        <f t="shared" si="21"/>
        <v>2147914</v>
      </c>
      <c r="I264" s="9">
        <f t="shared" si="21"/>
        <v>33606</v>
      </c>
    </row>
    <row r="265" spans="1:9">
      <c r="A265" s="12">
        <v>45880</v>
      </c>
      <c r="B265" s="10" t="s">
        <v>99</v>
      </c>
      <c r="C265" s="27">
        <v>3795</v>
      </c>
      <c r="D265" s="11">
        <v>32</v>
      </c>
      <c r="E265" s="7">
        <f t="shared" si="20"/>
        <v>118.59375</v>
      </c>
      <c r="F265" s="10">
        <v>1072</v>
      </c>
      <c r="G265" s="10" t="s">
        <v>10</v>
      </c>
      <c r="H265" s="8">
        <f t="shared" si="21"/>
        <v>2151709</v>
      </c>
      <c r="I265" s="9">
        <f t="shared" si="21"/>
        <v>33638</v>
      </c>
    </row>
    <row r="266" spans="1:9">
      <c r="A266" s="12">
        <v>45881</v>
      </c>
      <c r="B266" s="10" t="s">
        <v>99</v>
      </c>
      <c r="C266" s="27">
        <v>15814</v>
      </c>
      <c r="D266" s="11">
        <v>138</v>
      </c>
      <c r="E266" s="7">
        <f t="shared" si="20"/>
        <v>114.59420289855072</v>
      </c>
      <c r="F266" s="10">
        <v>1123</v>
      </c>
      <c r="G266" s="10" t="s">
        <v>12</v>
      </c>
      <c r="H266" s="8">
        <f t="shared" si="21"/>
        <v>2167523</v>
      </c>
      <c r="I266" s="9">
        <f t="shared" si="21"/>
        <v>33776</v>
      </c>
    </row>
    <row r="267" spans="1:9">
      <c r="A267" s="12">
        <v>45881</v>
      </c>
      <c r="B267" s="10" t="s">
        <v>99</v>
      </c>
      <c r="C267" s="27">
        <v>17313</v>
      </c>
      <c r="D267" s="11">
        <v>163</v>
      </c>
      <c r="E267" s="7">
        <f t="shared" si="20"/>
        <v>106.21472392638037</v>
      </c>
      <c r="F267" s="10">
        <v>1072</v>
      </c>
      <c r="G267" s="10" t="s">
        <v>10</v>
      </c>
      <c r="H267" s="8">
        <f t="shared" si="21"/>
        <v>2184836</v>
      </c>
      <c r="I267" s="9">
        <f t="shared" si="21"/>
        <v>33939</v>
      </c>
    </row>
    <row r="268" spans="1:9">
      <c r="A268" s="12">
        <v>45882</v>
      </c>
      <c r="B268" s="10" t="s">
        <v>99</v>
      </c>
      <c r="C268" s="27">
        <v>3650</v>
      </c>
      <c r="D268" s="11">
        <v>29</v>
      </c>
      <c r="E268" s="7">
        <f t="shared" si="20"/>
        <v>125.86206896551724</v>
      </c>
      <c r="F268" s="10">
        <v>1072</v>
      </c>
      <c r="G268" s="10" t="s">
        <v>10</v>
      </c>
      <c r="H268" s="8">
        <f t="shared" si="21"/>
        <v>2188486</v>
      </c>
      <c r="I268" s="9">
        <f t="shared" si="21"/>
        <v>33968</v>
      </c>
    </row>
    <row r="269" spans="1:9">
      <c r="A269" s="12">
        <v>45882</v>
      </c>
      <c r="B269" s="10" t="s">
        <v>99</v>
      </c>
      <c r="C269" s="27">
        <v>6841</v>
      </c>
      <c r="D269" s="11">
        <v>64</v>
      </c>
      <c r="E269" s="7">
        <f t="shared" si="20"/>
        <v>106.890625</v>
      </c>
      <c r="F269" s="10">
        <v>1123</v>
      </c>
      <c r="G269" s="10" t="s">
        <v>12</v>
      </c>
      <c r="H269" s="8">
        <f t="shared" si="21"/>
        <v>2195327</v>
      </c>
      <c r="I269" s="9">
        <f t="shared" si="21"/>
        <v>34032</v>
      </c>
    </row>
    <row r="270" spans="1:9">
      <c r="A270" s="12">
        <v>45882</v>
      </c>
      <c r="B270" s="10" t="s">
        <v>100</v>
      </c>
      <c r="C270" s="27">
        <v>4474</v>
      </c>
      <c r="D270" s="11">
        <v>35</v>
      </c>
      <c r="E270" s="7">
        <f t="shared" si="20"/>
        <v>127.82857142857142</v>
      </c>
      <c r="F270" s="10">
        <v>1072</v>
      </c>
      <c r="G270" s="10" t="s">
        <v>47</v>
      </c>
      <c r="H270" s="8">
        <f t="shared" si="21"/>
        <v>2199801</v>
      </c>
      <c r="I270" s="9">
        <f t="shared" si="21"/>
        <v>34067</v>
      </c>
    </row>
    <row r="271" spans="1:9">
      <c r="A271" s="12">
        <v>45882</v>
      </c>
      <c r="B271" s="10" t="s">
        <v>100</v>
      </c>
      <c r="C271" s="27">
        <v>3180</v>
      </c>
      <c r="D271" s="11">
        <v>42</v>
      </c>
      <c r="E271" s="7">
        <f t="shared" si="20"/>
        <v>75.714285714285708</v>
      </c>
      <c r="F271" s="10">
        <v>1123</v>
      </c>
      <c r="G271" s="10" t="s">
        <v>12</v>
      </c>
      <c r="H271" s="8">
        <f t="shared" si="21"/>
        <v>2202981</v>
      </c>
      <c r="I271" s="9">
        <f t="shared" si="21"/>
        <v>34109</v>
      </c>
    </row>
    <row r="272" spans="1:9">
      <c r="A272" s="12">
        <v>45883</v>
      </c>
      <c r="B272" s="10" t="s">
        <v>100</v>
      </c>
      <c r="C272" s="27">
        <v>10268</v>
      </c>
      <c r="D272" s="11">
        <v>87</v>
      </c>
      <c r="E272" s="7">
        <f t="shared" si="20"/>
        <v>118.02298850574712</v>
      </c>
      <c r="F272" s="10">
        <v>1123</v>
      </c>
      <c r="G272" s="10" t="s">
        <v>12</v>
      </c>
      <c r="H272" s="8">
        <f t="shared" si="21"/>
        <v>2213249</v>
      </c>
      <c r="I272" s="9">
        <f t="shared" si="21"/>
        <v>34196</v>
      </c>
    </row>
    <row r="273" spans="1:9">
      <c r="A273" s="12">
        <v>45883</v>
      </c>
      <c r="B273" s="10" t="s">
        <v>100</v>
      </c>
      <c r="C273" s="27">
        <v>4414</v>
      </c>
      <c r="D273" s="11">
        <v>43</v>
      </c>
      <c r="E273" s="7">
        <f t="shared" si="20"/>
        <v>102.65116279069767</v>
      </c>
      <c r="F273" s="10">
        <v>1072</v>
      </c>
      <c r="G273" s="10" t="s">
        <v>47</v>
      </c>
      <c r="H273" s="8">
        <f t="shared" si="21"/>
        <v>2217663</v>
      </c>
      <c r="I273" s="9">
        <f t="shared" si="21"/>
        <v>34239</v>
      </c>
    </row>
    <row r="274" spans="1:9">
      <c r="A274" s="12">
        <v>45883</v>
      </c>
      <c r="B274" s="10" t="s">
        <v>101</v>
      </c>
      <c r="C274" s="27">
        <v>1966</v>
      </c>
      <c r="D274" s="11">
        <v>47</v>
      </c>
      <c r="E274" s="7">
        <f t="shared" si="20"/>
        <v>41.829787234042556</v>
      </c>
      <c r="F274" s="10">
        <v>1072</v>
      </c>
      <c r="G274" s="10" t="s">
        <v>47</v>
      </c>
      <c r="H274" s="8">
        <f t="shared" si="21"/>
        <v>2219629</v>
      </c>
      <c r="I274" s="9">
        <f t="shared" si="21"/>
        <v>34286</v>
      </c>
    </row>
    <row r="275" spans="1:9">
      <c r="A275" s="12">
        <v>45887</v>
      </c>
      <c r="B275" s="10" t="s">
        <v>102</v>
      </c>
      <c r="C275" s="27">
        <v>24068</v>
      </c>
      <c r="D275" s="11">
        <v>206</v>
      </c>
      <c r="E275" s="7">
        <f t="shared" si="20"/>
        <v>116.83495145631068</v>
      </c>
      <c r="F275" s="10">
        <v>1072</v>
      </c>
      <c r="G275" s="10" t="s">
        <v>47</v>
      </c>
      <c r="H275" s="8">
        <f t="shared" ref="H275:I290" si="22">H274+C275</f>
        <v>2243697</v>
      </c>
      <c r="I275" s="9">
        <f t="shared" si="22"/>
        <v>34492</v>
      </c>
    </row>
    <row r="276" spans="1:9">
      <c r="A276" s="12">
        <v>45887</v>
      </c>
      <c r="B276" s="10" t="s">
        <v>102</v>
      </c>
      <c r="C276" s="27">
        <v>18050</v>
      </c>
      <c r="D276" s="11">
        <v>120</v>
      </c>
      <c r="E276" s="7">
        <f t="shared" si="20"/>
        <v>150.41666666666666</v>
      </c>
      <c r="F276" s="10">
        <v>1123</v>
      </c>
      <c r="G276" s="10" t="s">
        <v>12</v>
      </c>
      <c r="H276" s="8">
        <f t="shared" si="22"/>
        <v>2261747</v>
      </c>
      <c r="I276" s="9">
        <f t="shared" si="22"/>
        <v>34612</v>
      </c>
    </row>
    <row r="277" spans="1:9">
      <c r="A277" s="12">
        <v>45888</v>
      </c>
      <c r="B277" s="10" t="s">
        <v>102</v>
      </c>
      <c r="C277" s="27">
        <v>4466</v>
      </c>
      <c r="D277" s="11">
        <v>29</v>
      </c>
      <c r="E277" s="7">
        <f t="shared" si="20"/>
        <v>154</v>
      </c>
      <c r="F277" s="10">
        <v>1123</v>
      </c>
      <c r="G277" s="10" t="s">
        <v>12</v>
      </c>
      <c r="H277" s="8">
        <f t="shared" si="22"/>
        <v>2266213</v>
      </c>
      <c r="I277" s="9">
        <f t="shared" si="22"/>
        <v>34641</v>
      </c>
    </row>
    <row r="278" spans="1:9">
      <c r="A278" s="12">
        <v>45891</v>
      </c>
      <c r="B278" s="10" t="s">
        <v>103</v>
      </c>
      <c r="C278" s="27">
        <v>10311</v>
      </c>
      <c r="D278" s="11">
        <v>70</v>
      </c>
      <c r="E278" s="7">
        <f t="shared" si="20"/>
        <v>147.30000000000001</v>
      </c>
      <c r="F278" s="10">
        <v>1123</v>
      </c>
      <c r="G278" s="10" t="s">
        <v>12</v>
      </c>
      <c r="H278" s="8">
        <f t="shared" si="22"/>
        <v>2276524</v>
      </c>
      <c r="I278" s="9">
        <f t="shared" si="22"/>
        <v>34711</v>
      </c>
    </row>
    <row r="279" spans="1:9">
      <c r="A279" s="12">
        <v>45891</v>
      </c>
      <c r="B279" s="10" t="s">
        <v>103</v>
      </c>
      <c r="C279" s="27">
        <v>12817</v>
      </c>
      <c r="D279" s="11">
        <v>115</v>
      </c>
      <c r="E279" s="7">
        <f t="shared" si="20"/>
        <v>111.45217391304348</v>
      </c>
      <c r="F279" s="10">
        <v>1072</v>
      </c>
      <c r="G279" s="10" t="s">
        <v>47</v>
      </c>
      <c r="H279" s="8">
        <f t="shared" si="22"/>
        <v>2289341</v>
      </c>
      <c r="I279" s="9">
        <f t="shared" si="22"/>
        <v>34826</v>
      </c>
    </row>
    <row r="280" spans="1:9">
      <c r="A280" s="12">
        <v>45892</v>
      </c>
      <c r="B280" s="10" t="s">
        <v>103</v>
      </c>
      <c r="C280" s="27">
        <v>5946</v>
      </c>
      <c r="D280" s="11">
        <v>75</v>
      </c>
      <c r="E280" s="7">
        <f t="shared" si="20"/>
        <v>79.28</v>
      </c>
      <c r="F280" s="10">
        <v>1123</v>
      </c>
      <c r="G280" s="10" t="s">
        <v>12</v>
      </c>
      <c r="H280" s="8">
        <f t="shared" si="22"/>
        <v>2295287</v>
      </c>
      <c r="I280" s="9">
        <f t="shared" si="22"/>
        <v>34901</v>
      </c>
    </row>
    <row r="281" spans="1:9">
      <c r="A281" s="12">
        <v>45892</v>
      </c>
      <c r="B281" s="10" t="s">
        <v>103</v>
      </c>
      <c r="C281" s="27">
        <v>2650</v>
      </c>
      <c r="D281" s="11">
        <v>43</v>
      </c>
      <c r="E281" s="7">
        <f t="shared" si="20"/>
        <v>61.627906976744185</v>
      </c>
      <c r="F281" s="10">
        <v>1072</v>
      </c>
      <c r="G281" s="10" t="s">
        <v>47</v>
      </c>
      <c r="H281" s="8">
        <f t="shared" si="22"/>
        <v>2297937</v>
      </c>
      <c r="I281" s="9">
        <f t="shared" si="22"/>
        <v>34944</v>
      </c>
    </row>
    <row r="282" spans="1:9">
      <c r="A282" s="12">
        <v>45894</v>
      </c>
      <c r="B282" s="10" t="s">
        <v>103</v>
      </c>
      <c r="C282" s="27">
        <v>23893</v>
      </c>
      <c r="D282" s="11">
        <v>197</v>
      </c>
      <c r="E282" s="7">
        <f t="shared" si="20"/>
        <v>121.28426395939087</v>
      </c>
      <c r="F282" s="10">
        <v>1072</v>
      </c>
      <c r="G282" s="10" t="s">
        <v>47</v>
      </c>
      <c r="H282" s="8">
        <f t="shared" si="22"/>
        <v>2321830</v>
      </c>
      <c r="I282" s="9">
        <f t="shared" si="22"/>
        <v>35141</v>
      </c>
    </row>
    <row r="283" spans="1:9">
      <c r="A283" s="12">
        <v>45894</v>
      </c>
      <c r="B283" s="10" t="s">
        <v>103</v>
      </c>
      <c r="C283" s="27">
        <v>20900</v>
      </c>
      <c r="D283" s="11">
        <v>203</v>
      </c>
      <c r="E283" s="7">
        <f t="shared" si="20"/>
        <v>102.95566502463055</v>
      </c>
      <c r="F283" s="10">
        <v>1123</v>
      </c>
      <c r="G283" s="10" t="s">
        <v>12</v>
      </c>
      <c r="H283" s="8">
        <f t="shared" si="22"/>
        <v>2342730</v>
      </c>
      <c r="I283" s="9">
        <f t="shared" si="22"/>
        <v>35344</v>
      </c>
    </row>
    <row r="284" spans="1:9">
      <c r="A284" s="12">
        <v>45895</v>
      </c>
      <c r="B284" s="10" t="s">
        <v>103</v>
      </c>
      <c r="C284" s="27">
        <v>1250</v>
      </c>
      <c r="D284" s="11">
        <v>16</v>
      </c>
      <c r="E284" s="7">
        <f t="shared" si="20"/>
        <v>78.125</v>
      </c>
      <c r="F284" s="10">
        <v>1123</v>
      </c>
      <c r="G284" s="10" t="s">
        <v>12</v>
      </c>
      <c r="H284" s="8">
        <f t="shared" si="22"/>
        <v>2343980</v>
      </c>
      <c r="I284" s="9">
        <f t="shared" si="22"/>
        <v>35360</v>
      </c>
    </row>
    <row r="285" spans="1:9">
      <c r="A285" s="12">
        <v>45895</v>
      </c>
      <c r="B285" s="10" t="s">
        <v>104</v>
      </c>
      <c r="C285" s="27">
        <v>4434</v>
      </c>
      <c r="D285" s="11">
        <v>48</v>
      </c>
      <c r="E285" s="7">
        <f t="shared" si="20"/>
        <v>92.375</v>
      </c>
      <c r="F285" s="10">
        <v>1123</v>
      </c>
      <c r="G285" s="10" t="s">
        <v>12</v>
      </c>
      <c r="H285" s="8">
        <f t="shared" si="22"/>
        <v>2348414</v>
      </c>
      <c r="I285" s="9">
        <f t="shared" si="22"/>
        <v>35408</v>
      </c>
    </row>
    <row r="286" spans="1:9">
      <c r="A286" s="12">
        <v>45895</v>
      </c>
      <c r="B286" s="10" t="s">
        <v>104</v>
      </c>
      <c r="C286" s="27">
        <v>4157</v>
      </c>
      <c r="D286" s="11">
        <v>53</v>
      </c>
      <c r="E286" s="7">
        <f t="shared" si="20"/>
        <v>78.433962264150949</v>
      </c>
      <c r="F286" s="10">
        <v>1072</v>
      </c>
      <c r="G286" s="10" t="s">
        <v>47</v>
      </c>
      <c r="H286" s="8">
        <f t="shared" si="22"/>
        <v>2352571</v>
      </c>
      <c r="I286" s="9">
        <f t="shared" si="22"/>
        <v>35461</v>
      </c>
    </row>
    <row r="287" spans="1:9">
      <c r="A287" s="12">
        <v>45896</v>
      </c>
      <c r="B287" s="10" t="s">
        <v>104</v>
      </c>
      <c r="C287" s="27">
        <v>6550</v>
      </c>
      <c r="D287" s="11">
        <v>39</v>
      </c>
      <c r="E287" s="7">
        <f t="shared" si="20"/>
        <v>167.94871794871796</v>
      </c>
      <c r="F287" s="10">
        <v>1072</v>
      </c>
      <c r="G287" s="10" t="s">
        <v>47</v>
      </c>
      <c r="H287" s="8">
        <f t="shared" si="22"/>
        <v>2359121</v>
      </c>
      <c r="I287" s="9">
        <f t="shared" si="22"/>
        <v>35500</v>
      </c>
    </row>
    <row r="288" spans="1:9">
      <c r="A288" s="12">
        <v>45896</v>
      </c>
      <c r="B288" s="10" t="s">
        <v>104</v>
      </c>
      <c r="C288" s="27">
        <v>5350</v>
      </c>
      <c r="D288" s="11">
        <v>55</v>
      </c>
      <c r="E288" s="7">
        <f t="shared" si="20"/>
        <v>97.272727272727266</v>
      </c>
      <c r="F288" s="10">
        <v>1123</v>
      </c>
      <c r="G288" s="10" t="s">
        <v>12</v>
      </c>
      <c r="H288" s="8">
        <f t="shared" si="22"/>
        <v>2364471</v>
      </c>
      <c r="I288" s="9">
        <f t="shared" si="22"/>
        <v>35555</v>
      </c>
    </row>
    <row r="289" spans="1:9">
      <c r="A289" s="12">
        <v>45897</v>
      </c>
      <c r="B289" s="10" t="s">
        <v>104</v>
      </c>
      <c r="C289" s="27">
        <v>16382</v>
      </c>
      <c r="D289" s="11">
        <v>111</v>
      </c>
      <c r="E289" s="7">
        <f t="shared" si="20"/>
        <v>147.58558558558559</v>
      </c>
      <c r="F289" s="10">
        <v>1072</v>
      </c>
      <c r="G289" s="10" t="s">
        <v>47</v>
      </c>
      <c r="H289" s="8">
        <f t="shared" si="22"/>
        <v>2380853</v>
      </c>
      <c r="I289" s="9">
        <f t="shared" si="22"/>
        <v>35666</v>
      </c>
    </row>
    <row r="290" spans="1:9">
      <c r="A290" s="12">
        <v>45897</v>
      </c>
      <c r="B290" s="10" t="s">
        <v>104</v>
      </c>
      <c r="C290" s="27">
        <v>18842</v>
      </c>
      <c r="D290" s="11">
        <v>157</v>
      </c>
      <c r="E290" s="7">
        <f t="shared" si="20"/>
        <v>120.01273885350318</v>
      </c>
      <c r="F290" s="10">
        <v>1123</v>
      </c>
      <c r="G290" s="10" t="s">
        <v>12</v>
      </c>
      <c r="H290" s="8">
        <f t="shared" si="22"/>
        <v>2399695</v>
      </c>
      <c r="I290" s="9">
        <f t="shared" si="22"/>
        <v>35823</v>
      </c>
    </row>
    <row r="291" spans="1:9">
      <c r="A291" s="12">
        <v>45898</v>
      </c>
      <c r="B291" s="10" t="s">
        <v>104</v>
      </c>
      <c r="C291" s="27">
        <v>14500</v>
      </c>
      <c r="D291" s="11">
        <v>181</v>
      </c>
      <c r="E291" s="7">
        <f t="shared" si="20"/>
        <v>80.110497237569064</v>
      </c>
      <c r="F291" s="10">
        <v>1072</v>
      </c>
      <c r="G291" s="10" t="s">
        <v>47</v>
      </c>
      <c r="H291" s="8">
        <f t="shared" ref="H291:I306" si="23">H290+C291</f>
        <v>2414195</v>
      </c>
      <c r="I291" s="9">
        <f t="shared" si="23"/>
        <v>36004</v>
      </c>
    </row>
    <row r="292" spans="1:9">
      <c r="A292" s="12">
        <v>45898</v>
      </c>
      <c r="B292" s="10" t="s">
        <v>104</v>
      </c>
      <c r="C292" s="27">
        <v>13648</v>
      </c>
      <c r="D292" s="11">
        <v>126</v>
      </c>
      <c r="E292" s="7">
        <f t="shared" si="20"/>
        <v>108.31746031746032</v>
      </c>
      <c r="F292" s="10">
        <v>1123</v>
      </c>
      <c r="G292" s="10" t="s">
        <v>10</v>
      </c>
      <c r="H292" s="8">
        <f t="shared" si="23"/>
        <v>2427843</v>
      </c>
      <c r="I292" s="9">
        <f t="shared" si="23"/>
        <v>36130</v>
      </c>
    </row>
    <row r="293" spans="1:9">
      <c r="A293" s="12">
        <v>45901</v>
      </c>
      <c r="B293" s="10" t="s">
        <v>105</v>
      </c>
      <c r="C293" s="27">
        <v>9855</v>
      </c>
      <c r="D293" s="11">
        <v>62</v>
      </c>
      <c r="E293" s="7">
        <f t="shared" si="20"/>
        <v>158.95161290322579</v>
      </c>
      <c r="F293" s="10">
        <v>1072</v>
      </c>
      <c r="G293" s="10" t="s">
        <v>47</v>
      </c>
      <c r="H293" s="8">
        <f t="shared" si="23"/>
        <v>2437698</v>
      </c>
      <c r="I293" s="9">
        <f t="shared" si="23"/>
        <v>36192</v>
      </c>
    </row>
    <row r="294" spans="1:9">
      <c r="A294" s="12">
        <v>45902</v>
      </c>
      <c r="B294" s="10" t="s">
        <v>105</v>
      </c>
      <c r="C294" s="27">
        <v>11754</v>
      </c>
      <c r="D294" s="11">
        <v>93</v>
      </c>
      <c r="E294" s="7">
        <f t="shared" si="20"/>
        <v>126.38709677419355</v>
      </c>
      <c r="F294" s="10">
        <v>1072</v>
      </c>
      <c r="G294" s="10" t="s">
        <v>47</v>
      </c>
      <c r="H294" s="8">
        <f t="shared" si="23"/>
        <v>2449452</v>
      </c>
      <c r="I294" s="9">
        <f t="shared" si="23"/>
        <v>36285</v>
      </c>
    </row>
    <row r="295" spans="1:9">
      <c r="A295" s="12">
        <v>45902</v>
      </c>
      <c r="B295" s="10" t="s">
        <v>105</v>
      </c>
      <c r="C295" s="27">
        <v>18142</v>
      </c>
      <c r="D295" s="11">
        <v>134</v>
      </c>
      <c r="E295" s="7">
        <f t="shared" si="20"/>
        <v>135.38805970149255</v>
      </c>
      <c r="F295" s="10">
        <v>1123</v>
      </c>
      <c r="G295" s="10" t="s">
        <v>12</v>
      </c>
      <c r="H295" s="8">
        <f t="shared" si="23"/>
        <v>2467594</v>
      </c>
      <c r="I295" s="9">
        <f t="shared" si="23"/>
        <v>36419</v>
      </c>
    </row>
    <row r="296" spans="1:9">
      <c r="A296" s="12">
        <v>45903</v>
      </c>
      <c r="B296" s="10" t="s">
        <v>105</v>
      </c>
      <c r="C296" s="27">
        <v>3420</v>
      </c>
      <c r="D296" s="11">
        <v>28</v>
      </c>
      <c r="E296" s="7">
        <f t="shared" si="20"/>
        <v>122.14285714285714</v>
      </c>
      <c r="F296" s="10">
        <v>1072</v>
      </c>
      <c r="G296" s="10" t="s">
        <v>47</v>
      </c>
      <c r="H296" s="8">
        <f t="shared" si="23"/>
        <v>2471014</v>
      </c>
      <c r="I296" s="9">
        <f t="shared" si="23"/>
        <v>36447</v>
      </c>
    </row>
    <row r="297" spans="1:9">
      <c r="A297" s="12">
        <v>45903</v>
      </c>
      <c r="B297" s="10" t="s">
        <v>106</v>
      </c>
      <c r="C297" s="27">
        <v>10206</v>
      </c>
      <c r="D297" s="11">
        <v>116</v>
      </c>
      <c r="E297" s="7">
        <f t="shared" si="20"/>
        <v>87.982758620689651</v>
      </c>
      <c r="F297" s="10">
        <v>1123</v>
      </c>
      <c r="G297" s="10" t="s">
        <v>12</v>
      </c>
      <c r="H297" s="8">
        <f t="shared" si="23"/>
        <v>2481220</v>
      </c>
      <c r="I297" s="9">
        <f t="shared" si="23"/>
        <v>36563</v>
      </c>
    </row>
    <row r="298" spans="1:9">
      <c r="A298" s="12">
        <v>45903</v>
      </c>
      <c r="B298" s="10" t="s">
        <v>106</v>
      </c>
      <c r="C298" s="27">
        <v>16422</v>
      </c>
      <c r="D298" s="11">
        <v>144</v>
      </c>
      <c r="E298" s="7">
        <f t="shared" si="20"/>
        <v>114.04166666666667</v>
      </c>
      <c r="F298" s="10">
        <v>1072</v>
      </c>
      <c r="G298" s="10" t="s">
        <v>47</v>
      </c>
      <c r="H298" s="8">
        <f t="shared" si="23"/>
        <v>2497642</v>
      </c>
      <c r="I298" s="9">
        <f t="shared" si="23"/>
        <v>36707</v>
      </c>
    </row>
    <row r="299" spans="1:9">
      <c r="A299" s="12">
        <v>45904</v>
      </c>
      <c r="B299" s="10" t="s">
        <v>106</v>
      </c>
      <c r="C299" s="27">
        <v>9500</v>
      </c>
      <c r="D299" s="11">
        <v>88</v>
      </c>
      <c r="E299" s="7">
        <f t="shared" si="20"/>
        <v>107.95454545454545</v>
      </c>
      <c r="F299" s="10">
        <v>1123</v>
      </c>
      <c r="G299" s="10" t="s">
        <v>12</v>
      </c>
      <c r="H299" s="8">
        <f t="shared" si="23"/>
        <v>2507142</v>
      </c>
      <c r="I299" s="9">
        <f t="shared" si="23"/>
        <v>36795</v>
      </c>
    </row>
    <row r="300" spans="1:9">
      <c r="A300" s="12">
        <v>45904</v>
      </c>
      <c r="B300" s="10" t="s">
        <v>106</v>
      </c>
      <c r="C300" s="27">
        <v>3450</v>
      </c>
      <c r="D300" s="11">
        <v>33</v>
      </c>
      <c r="E300" s="7">
        <f t="shared" si="20"/>
        <v>104.54545454545455</v>
      </c>
      <c r="F300" s="10">
        <v>1072</v>
      </c>
      <c r="G300" s="10" t="s">
        <v>47</v>
      </c>
      <c r="H300" s="8">
        <f t="shared" si="23"/>
        <v>2510592</v>
      </c>
      <c r="I300" s="9">
        <f t="shared" si="23"/>
        <v>36828</v>
      </c>
    </row>
    <row r="301" spans="1:9">
      <c r="A301" s="12">
        <v>45905</v>
      </c>
      <c r="B301" s="10" t="s">
        <v>107</v>
      </c>
      <c r="C301" s="27">
        <v>5811</v>
      </c>
      <c r="D301" s="11">
        <v>50</v>
      </c>
      <c r="E301" s="7">
        <f t="shared" si="20"/>
        <v>116.22</v>
      </c>
      <c r="F301" s="10">
        <v>1072</v>
      </c>
      <c r="G301" s="10" t="s">
        <v>12</v>
      </c>
      <c r="H301" s="8">
        <f t="shared" si="23"/>
        <v>2516403</v>
      </c>
      <c r="I301" s="9">
        <f t="shared" si="23"/>
        <v>36878</v>
      </c>
    </row>
    <row r="302" spans="1:9">
      <c r="A302" s="12">
        <v>45906</v>
      </c>
      <c r="B302" s="10" t="s">
        <v>107</v>
      </c>
      <c r="C302" s="27">
        <v>9947</v>
      </c>
      <c r="D302" s="11">
        <v>74</v>
      </c>
      <c r="E302" s="7">
        <f t="shared" si="20"/>
        <v>134.41891891891891</v>
      </c>
      <c r="F302" s="10">
        <v>1123</v>
      </c>
      <c r="G302" s="10" t="s">
        <v>12</v>
      </c>
      <c r="H302" s="8">
        <f t="shared" si="23"/>
        <v>2526350</v>
      </c>
      <c r="I302" s="9">
        <f t="shared" si="23"/>
        <v>36952</v>
      </c>
    </row>
    <row r="303" spans="1:9">
      <c r="A303" s="12">
        <v>45906</v>
      </c>
      <c r="B303" s="10" t="s">
        <v>107</v>
      </c>
      <c r="C303" s="27">
        <v>11780</v>
      </c>
      <c r="D303" s="11">
        <v>90</v>
      </c>
      <c r="E303" s="7">
        <f t="shared" si="20"/>
        <v>130.88888888888889</v>
      </c>
      <c r="F303" s="10">
        <v>1072</v>
      </c>
      <c r="G303" s="10" t="s">
        <v>47</v>
      </c>
      <c r="H303" s="8">
        <f t="shared" si="23"/>
        <v>2538130</v>
      </c>
      <c r="I303" s="9">
        <f t="shared" si="23"/>
        <v>37042</v>
      </c>
    </row>
    <row r="304" spans="1:9">
      <c r="A304" s="12">
        <v>45908</v>
      </c>
      <c r="B304" s="10" t="s">
        <v>107</v>
      </c>
      <c r="C304" s="27">
        <v>19206</v>
      </c>
      <c r="D304" s="11">
        <v>154</v>
      </c>
      <c r="E304" s="7">
        <f t="shared" si="20"/>
        <v>124.71428571428571</v>
      </c>
      <c r="F304" s="10">
        <v>1123</v>
      </c>
      <c r="G304" s="10" t="s">
        <v>12</v>
      </c>
      <c r="H304" s="8">
        <f t="shared" si="23"/>
        <v>2557336</v>
      </c>
      <c r="I304" s="9">
        <f t="shared" si="23"/>
        <v>37196</v>
      </c>
    </row>
    <row r="305" spans="1:9">
      <c r="A305" s="12">
        <v>45908</v>
      </c>
      <c r="B305" s="10" t="s">
        <v>107</v>
      </c>
      <c r="C305" s="27">
        <v>14690</v>
      </c>
      <c r="D305" s="11">
        <v>111</v>
      </c>
      <c r="E305" s="7">
        <f t="shared" si="20"/>
        <v>132.34234234234233</v>
      </c>
      <c r="F305" s="10">
        <v>1072</v>
      </c>
      <c r="G305" s="10" t="s">
        <v>47</v>
      </c>
      <c r="H305" s="8">
        <f t="shared" si="23"/>
        <v>2572026</v>
      </c>
      <c r="I305" s="9">
        <f t="shared" si="23"/>
        <v>37307</v>
      </c>
    </row>
    <row r="306" spans="1:9">
      <c r="A306" s="12">
        <v>45910</v>
      </c>
      <c r="B306" s="10" t="s">
        <v>108</v>
      </c>
      <c r="C306" s="27">
        <v>10567</v>
      </c>
      <c r="D306" s="11">
        <v>77</v>
      </c>
      <c r="E306" s="7">
        <f t="shared" si="20"/>
        <v>137.23376623376623</v>
      </c>
      <c r="F306" s="10">
        <v>1072</v>
      </c>
      <c r="G306" s="10" t="s">
        <v>47</v>
      </c>
      <c r="H306" s="8">
        <f t="shared" si="23"/>
        <v>2582593</v>
      </c>
      <c r="I306" s="9">
        <f t="shared" si="23"/>
        <v>37384</v>
      </c>
    </row>
    <row r="307" spans="1:9">
      <c r="A307" s="12">
        <v>45910</v>
      </c>
      <c r="B307" s="10" t="s">
        <v>108</v>
      </c>
      <c r="C307" s="27">
        <v>4354</v>
      </c>
      <c r="D307" s="11">
        <v>44</v>
      </c>
      <c r="E307" s="7">
        <f t="shared" si="20"/>
        <v>98.954545454545453</v>
      </c>
      <c r="F307" s="10">
        <v>1123</v>
      </c>
      <c r="G307" s="10" t="s">
        <v>10</v>
      </c>
      <c r="H307" s="8">
        <f t="shared" ref="H307:I322" si="24">H306+C307</f>
        <v>2586947</v>
      </c>
      <c r="I307" s="9">
        <f t="shared" si="24"/>
        <v>37428</v>
      </c>
    </row>
    <row r="308" spans="1:9">
      <c r="A308" s="12">
        <v>45911</v>
      </c>
      <c r="B308" s="10" t="s">
        <v>108</v>
      </c>
      <c r="C308" s="27">
        <v>9106</v>
      </c>
      <c r="D308" s="11">
        <v>69</v>
      </c>
      <c r="E308" s="7">
        <f t="shared" si="20"/>
        <v>131.97101449275362</v>
      </c>
      <c r="F308" s="10">
        <v>1072</v>
      </c>
      <c r="G308" s="10" t="s">
        <v>47</v>
      </c>
      <c r="H308" s="8">
        <f t="shared" si="24"/>
        <v>2596053</v>
      </c>
      <c r="I308" s="9">
        <f t="shared" si="24"/>
        <v>37497</v>
      </c>
    </row>
    <row r="309" spans="1:9">
      <c r="A309" s="12">
        <v>45911</v>
      </c>
      <c r="B309" s="10" t="s">
        <v>108</v>
      </c>
      <c r="C309" s="27">
        <v>14657</v>
      </c>
      <c r="D309" s="11">
        <v>132</v>
      </c>
      <c r="E309" s="7">
        <f t="shared" si="20"/>
        <v>111.03787878787878</v>
      </c>
      <c r="F309" s="10">
        <v>1123</v>
      </c>
      <c r="G309" s="10" t="s">
        <v>12</v>
      </c>
      <c r="H309" s="8">
        <f t="shared" si="24"/>
        <v>2610710</v>
      </c>
      <c r="I309" s="9">
        <f t="shared" si="24"/>
        <v>37629</v>
      </c>
    </row>
    <row r="310" spans="1:9">
      <c r="A310" s="12">
        <v>45912</v>
      </c>
      <c r="B310" s="10" t="s">
        <v>108</v>
      </c>
      <c r="C310" s="27">
        <v>7304</v>
      </c>
      <c r="D310" s="11">
        <v>83</v>
      </c>
      <c r="E310" s="7">
        <f t="shared" si="20"/>
        <v>88</v>
      </c>
      <c r="F310" s="10">
        <v>1123</v>
      </c>
      <c r="G310" s="10" t="s">
        <v>10</v>
      </c>
      <c r="H310" s="8">
        <f t="shared" si="24"/>
        <v>2618014</v>
      </c>
      <c r="I310" s="9">
        <f t="shared" si="24"/>
        <v>37712</v>
      </c>
    </row>
    <row r="311" spans="1:9">
      <c r="A311" s="12">
        <v>45912</v>
      </c>
      <c r="B311" s="10" t="s">
        <v>108</v>
      </c>
      <c r="C311" s="27">
        <v>3780</v>
      </c>
      <c r="D311" s="11">
        <v>33</v>
      </c>
      <c r="E311" s="7">
        <f t="shared" si="20"/>
        <v>114.54545454545455</v>
      </c>
      <c r="F311" s="10">
        <v>1072</v>
      </c>
      <c r="G311" s="10" t="s">
        <v>47</v>
      </c>
      <c r="H311" s="8">
        <f t="shared" si="24"/>
        <v>2621794</v>
      </c>
      <c r="I311" s="9">
        <f t="shared" si="24"/>
        <v>37745</v>
      </c>
    </row>
    <row r="312" spans="1:9">
      <c r="A312" s="12">
        <v>45916</v>
      </c>
      <c r="B312" s="10" t="s">
        <v>109</v>
      </c>
      <c r="C312" s="27">
        <v>2673</v>
      </c>
      <c r="D312" s="11">
        <v>116</v>
      </c>
      <c r="E312" s="7">
        <f t="shared" si="20"/>
        <v>23.043103448275861</v>
      </c>
      <c r="F312" s="10">
        <v>1072</v>
      </c>
      <c r="G312" s="10" t="s">
        <v>47</v>
      </c>
      <c r="H312" s="8">
        <f t="shared" si="24"/>
        <v>2624467</v>
      </c>
      <c r="I312" s="9">
        <f t="shared" si="24"/>
        <v>37861</v>
      </c>
    </row>
    <row r="313" spans="1:9">
      <c r="A313" s="12">
        <v>45916</v>
      </c>
      <c r="B313" s="10" t="s">
        <v>109</v>
      </c>
      <c r="C313" s="27">
        <v>4696</v>
      </c>
      <c r="D313" s="11">
        <v>120</v>
      </c>
      <c r="E313" s="7">
        <f t="shared" si="20"/>
        <v>39.133333333333333</v>
      </c>
      <c r="F313" s="10">
        <v>1123</v>
      </c>
      <c r="G313" s="10" t="s">
        <v>12</v>
      </c>
      <c r="H313" s="8">
        <f t="shared" si="24"/>
        <v>2629163</v>
      </c>
      <c r="I313" s="9">
        <f t="shared" si="24"/>
        <v>37981</v>
      </c>
    </row>
    <row r="314" spans="1:9">
      <c r="A314" s="12">
        <v>45917</v>
      </c>
      <c r="B314" s="10" t="s">
        <v>110</v>
      </c>
      <c r="C314" s="27">
        <v>1166</v>
      </c>
      <c r="D314" s="11">
        <v>58</v>
      </c>
      <c r="E314" s="7">
        <f t="shared" si="20"/>
        <v>20.103448275862068</v>
      </c>
      <c r="F314" s="10">
        <v>1123</v>
      </c>
      <c r="G314" s="10" t="s">
        <v>12</v>
      </c>
      <c r="H314" s="8">
        <f t="shared" si="24"/>
        <v>2630329</v>
      </c>
      <c r="I314" s="9">
        <f t="shared" si="24"/>
        <v>38039</v>
      </c>
    </row>
    <row r="315" spans="1:9">
      <c r="A315" s="12">
        <v>45917</v>
      </c>
      <c r="B315" s="10" t="s">
        <v>110</v>
      </c>
      <c r="C315" s="27">
        <v>5015</v>
      </c>
      <c r="D315" s="11">
        <v>69</v>
      </c>
      <c r="E315" s="7">
        <f t="shared" si="20"/>
        <v>72.681159420289859</v>
      </c>
      <c r="F315" s="10">
        <v>1072</v>
      </c>
      <c r="G315" s="10" t="s">
        <v>47</v>
      </c>
      <c r="H315" s="8">
        <f t="shared" si="24"/>
        <v>2635344</v>
      </c>
      <c r="I315" s="9">
        <f t="shared" si="24"/>
        <v>38108</v>
      </c>
    </row>
    <row r="316" spans="1:9">
      <c r="A316" s="12">
        <v>45918</v>
      </c>
      <c r="B316" s="10" t="s">
        <v>110</v>
      </c>
      <c r="C316" s="27">
        <v>10700</v>
      </c>
      <c r="D316" s="11">
        <v>76</v>
      </c>
      <c r="E316" s="7">
        <f t="shared" si="20"/>
        <v>140.78947368421052</v>
      </c>
      <c r="F316" s="10">
        <v>1072</v>
      </c>
      <c r="G316" s="10" t="s">
        <v>47</v>
      </c>
      <c r="H316" s="8">
        <f t="shared" si="24"/>
        <v>2646044</v>
      </c>
      <c r="I316" s="9">
        <f t="shared" si="24"/>
        <v>38184</v>
      </c>
    </row>
    <row r="317" spans="1:9">
      <c r="A317" s="12">
        <v>45918</v>
      </c>
      <c r="B317" s="10" t="s">
        <v>110</v>
      </c>
      <c r="C317" s="27">
        <v>8895</v>
      </c>
      <c r="D317" s="11">
        <v>98</v>
      </c>
      <c r="E317" s="7">
        <f t="shared" si="20"/>
        <v>90.765306122448976</v>
      </c>
      <c r="F317" s="10">
        <v>1123</v>
      </c>
      <c r="G317" s="10" t="s">
        <v>12</v>
      </c>
      <c r="H317" s="8">
        <f t="shared" si="24"/>
        <v>2654939</v>
      </c>
      <c r="I317" s="9">
        <f t="shared" si="24"/>
        <v>38282</v>
      </c>
    </row>
    <row r="318" spans="1:9">
      <c r="A318" s="12">
        <v>45919</v>
      </c>
      <c r="B318" s="10" t="s">
        <v>110</v>
      </c>
      <c r="C318" s="27">
        <v>2806</v>
      </c>
      <c r="D318" s="11">
        <v>21</v>
      </c>
      <c r="E318" s="7">
        <f t="shared" si="20"/>
        <v>133.61904761904762</v>
      </c>
      <c r="F318" s="10">
        <v>1072</v>
      </c>
      <c r="G318" s="10" t="s">
        <v>47</v>
      </c>
      <c r="H318" s="8">
        <f t="shared" si="24"/>
        <v>2657745</v>
      </c>
      <c r="I318" s="9">
        <f t="shared" si="24"/>
        <v>38303</v>
      </c>
    </row>
    <row r="319" spans="1:9">
      <c r="A319" s="12">
        <v>45919</v>
      </c>
      <c r="B319" s="10" t="s">
        <v>110</v>
      </c>
      <c r="C319" s="27">
        <v>1536</v>
      </c>
      <c r="D319" s="11">
        <v>14</v>
      </c>
      <c r="E319" s="7">
        <f t="shared" si="20"/>
        <v>109.71428571428571</v>
      </c>
      <c r="F319" s="10">
        <v>1123</v>
      </c>
      <c r="G319" s="10" t="s">
        <v>12</v>
      </c>
      <c r="H319" s="8">
        <f t="shared" si="24"/>
        <v>2659281</v>
      </c>
      <c r="I319" s="9">
        <f t="shared" si="24"/>
        <v>38317</v>
      </c>
    </row>
    <row r="320" spans="1:9">
      <c r="A320" s="12">
        <v>45919</v>
      </c>
      <c r="B320" s="10" t="s">
        <v>111</v>
      </c>
      <c r="C320" s="27">
        <v>10955</v>
      </c>
      <c r="D320" s="11">
        <v>81</v>
      </c>
      <c r="E320" s="7">
        <f t="shared" si="20"/>
        <v>135.24691358024691</v>
      </c>
      <c r="F320" s="10">
        <v>1072</v>
      </c>
      <c r="G320" s="10" t="s">
        <v>47</v>
      </c>
      <c r="H320" s="8">
        <f t="shared" si="24"/>
        <v>2670236</v>
      </c>
      <c r="I320" s="9">
        <f t="shared" si="24"/>
        <v>38398</v>
      </c>
    </row>
    <row r="321" spans="1:9">
      <c r="A321" s="12">
        <v>45919</v>
      </c>
      <c r="B321" s="10" t="s">
        <v>111</v>
      </c>
      <c r="C321" s="27">
        <v>8372</v>
      </c>
      <c r="D321" s="11">
        <v>66</v>
      </c>
      <c r="E321" s="7">
        <f t="shared" si="20"/>
        <v>126.84848484848484</v>
      </c>
      <c r="F321" s="10">
        <v>1123</v>
      </c>
      <c r="G321" s="10" t="s">
        <v>12</v>
      </c>
      <c r="H321" s="8">
        <f t="shared" si="24"/>
        <v>2678608</v>
      </c>
      <c r="I321" s="9">
        <f t="shared" si="24"/>
        <v>38464</v>
      </c>
    </row>
    <row r="322" spans="1:9">
      <c r="A322" s="12">
        <v>45920</v>
      </c>
      <c r="B322" s="10" t="s">
        <v>111</v>
      </c>
      <c r="C322" s="27">
        <v>3700</v>
      </c>
      <c r="D322" s="11">
        <v>27</v>
      </c>
      <c r="E322" s="7">
        <f t="shared" ref="E322:E385" si="25">IF(D322&gt;0,(C322/D322),"*")</f>
        <v>137.03703703703704</v>
      </c>
      <c r="F322" s="10">
        <v>1072</v>
      </c>
      <c r="G322" s="10" t="s">
        <v>47</v>
      </c>
      <c r="H322" s="8">
        <f t="shared" si="24"/>
        <v>2682308</v>
      </c>
      <c r="I322" s="9">
        <f t="shared" si="24"/>
        <v>38491</v>
      </c>
    </row>
    <row r="323" spans="1:9">
      <c r="A323" s="12">
        <v>45920</v>
      </c>
      <c r="B323" s="10" t="s">
        <v>111</v>
      </c>
      <c r="C323" s="27">
        <v>10020</v>
      </c>
      <c r="D323" s="11">
        <v>74</v>
      </c>
      <c r="E323" s="7">
        <f t="shared" si="25"/>
        <v>135.40540540540542</v>
      </c>
      <c r="F323" s="10">
        <v>1123</v>
      </c>
      <c r="G323" s="10" t="s">
        <v>12</v>
      </c>
      <c r="H323" s="8">
        <f t="shared" ref="H323:I338" si="26">H322+C323</f>
        <v>2692328</v>
      </c>
      <c r="I323" s="9">
        <f t="shared" si="26"/>
        <v>38565</v>
      </c>
    </row>
    <row r="324" spans="1:9">
      <c r="A324" s="12">
        <v>45922</v>
      </c>
      <c r="B324" s="10" t="s">
        <v>111</v>
      </c>
      <c r="C324" s="27">
        <v>5032</v>
      </c>
      <c r="D324" s="11">
        <v>47</v>
      </c>
      <c r="E324" s="7">
        <f t="shared" si="25"/>
        <v>107.06382978723404</v>
      </c>
      <c r="F324" s="10">
        <v>1072</v>
      </c>
      <c r="G324" s="10" t="s">
        <v>47</v>
      </c>
      <c r="H324" s="8">
        <f t="shared" si="26"/>
        <v>2697360</v>
      </c>
      <c r="I324" s="9">
        <f t="shared" si="26"/>
        <v>38612</v>
      </c>
    </row>
    <row r="325" spans="1:9">
      <c r="A325" s="12">
        <v>45924</v>
      </c>
      <c r="B325" s="10" t="s">
        <v>112</v>
      </c>
      <c r="C325" s="27">
        <v>25085</v>
      </c>
      <c r="D325" s="11">
        <v>219</v>
      </c>
      <c r="E325" s="7">
        <f t="shared" si="25"/>
        <v>114.54337899543378</v>
      </c>
      <c r="F325" s="10">
        <v>1123</v>
      </c>
      <c r="G325" s="10" t="s">
        <v>12</v>
      </c>
      <c r="H325" s="8">
        <f t="shared" si="26"/>
        <v>2722445</v>
      </c>
      <c r="I325" s="9">
        <f t="shared" si="26"/>
        <v>38831</v>
      </c>
    </row>
    <row r="326" spans="1:9">
      <c r="A326" s="12">
        <v>45924</v>
      </c>
      <c r="B326" s="10" t="s">
        <v>112</v>
      </c>
      <c r="C326" s="27">
        <v>11680</v>
      </c>
      <c r="D326" s="11">
        <v>107</v>
      </c>
      <c r="E326" s="7">
        <f t="shared" si="25"/>
        <v>109.1588785046729</v>
      </c>
      <c r="F326" s="10">
        <v>1072</v>
      </c>
      <c r="G326" s="10" t="s">
        <v>47</v>
      </c>
      <c r="H326" s="8">
        <f t="shared" si="26"/>
        <v>2734125</v>
      </c>
      <c r="I326" s="9">
        <f t="shared" si="26"/>
        <v>38938</v>
      </c>
    </row>
    <row r="327" spans="1:9">
      <c r="A327" s="12">
        <v>45925</v>
      </c>
      <c r="B327" s="10" t="s">
        <v>112</v>
      </c>
      <c r="C327" s="27">
        <v>11940</v>
      </c>
      <c r="D327" s="11">
        <v>104</v>
      </c>
      <c r="E327" s="7">
        <f t="shared" si="25"/>
        <v>114.80769230769231</v>
      </c>
      <c r="F327" s="10">
        <v>1072</v>
      </c>
      <c r="G327" s="10" t="s">
        <v>47</v>
      </c>
      <c r="H327" s="8">
        <f t="shared" si="26"/>
        <v>2746065</v>
      </c>
      <c r="I327" s="9">
        <f t="shared" si="26"/>
        <v>39042</v>
      </c>
    </row>
    <row r="328" spans="1:9">
      <c r="A328" s="12">
        <v>45925</v>
      </c>
      <c r="B328" s="10" t="s">
        <v>112</v>
      </c>
      <c r="C328" s="27">
        <v>9875</v>
      </c>
      <c r="D328" s="11">
        <v>101</v>
      </c>
      <c r="E328" s="7">
        <f t="shared" si="25"/>
        <v>97.772277227722768</v>
      </c>
      <c r="F328" s="10">
        <v>1123</v>
      </c>
      <c r="G328" s="10" t="s">
        <v>12</v>
      </c>
      <c r="H328" s="8">
        <f t="shared" si="26"/>
        <v>2755940</v>
      </c>
      <c r="I328" s="9">
        <f t="shared" si="26"/>
        <v>39143</v>
      </c>
    </row>
    <row r="329" spans="1:9">
      <c r="A329" s="12">
        <v>45926</v>
      </c>
      <c r="B329" s="10" t="s">
        <v>113</v>
      </c>
      <c r="C329" s="27">
        <v>12709</v>
      </c>
      <c r="D329" s="11">
        <v>105</v>
      </c>
      <c r="E329" s="7">
        <f t="shared" si="25"/>
        <v>121.03809523809524</v>
      </c>
      <c r="F329" s="10">
        <v>1123</v>
      </c>
      <c r="G329" s="10" t="s">
        <v>12</v>
      </c>
      <c r="H329" s="8">
        <f>H328+C329</f>
        <v>2768649</v>
      </c>
      <c r="I329" s="9">
        <f>I328+D329</f>
        <v>39248</v>
      </c>
    </row>
    <row r="330" spans="1:9">
      <c r="A330" s="12">
        <v>45926</v>
      </c>
      <c r="B330" s="10" t="s">
        <v>113</v>
      </c>
      <c r="C330" s="27">
        <v>2601</v>
      </c>
      <c r="D330" s="11">
        <v>36</v>
      </c>
      <c r="E330" s="7">
        <f t="shared" si="25"/>
        <v>72.25</v>
      </c>
      <c r="F330" s="10">
        <v>1072</v>
      </c>
      <c r="G330" s="10" t="s">
        <v>47</v>
      </c>
      <c r="H330" s="8">
        <f t="shared" si="26"/>
        <v>2771250</v>
      </c>
      <c r="I330" s="9">
        <f t="shared" si="26"/>
        <v>39284</v>
      </c>
    </row>
    <row r="331" spans="1:9">
      <c r="A331" s="12">
        <v>45926</v>
      </c>
      <c r="B331" s="10" t="s">
        <v>114</v>
      </c>
      <c r="C331" s="27">
        <v>8810</v>
      </c>
      <c r="D331" s="11">
        <v>100</v>
      </c>
      <c r="E331" s="7">
        <f t="shared" si="25"/>
        <v>88.1</v>
      </c>
      <c r="F331" s="10">
        <v>1123</v>
      </c>
      <c r="G331" s="10" t="s">
        <v>12</v>
      </c>
      <c r="H331" s="8">
        <f t="shared" si="26"/>
        <v>2780060</v>
      </c>
      <c r="I331" s="9">
        <f t="shared" si="26"/>
        <v>39384</v>
      </c>
    </row>
    <row r="332" spans="1:9">
      <c r="A332" s="12">
        <v>45926</v>
      </c>
      <c r="B332" s="10" t="s">
        <v>114</v>
      </c>
      <c r="C332" s="27">
        <v>5187</v>
      </c>
      <c r="D332" s="11">
        <v>45</v>
      </c>
      <c r="E332" s="7">
        <f t="shared" si="25"/>
        <v>115.26666666666667</v>
      </c>
      <c r="F332" s="10">
        <v>1072</v>
      </c>
      <c r="G332" s="10" t="s">
        <v>47</v>
      </c>
      <c r="H332" s="8">
        <f t="shared" si="26"/>
        <v>2785247</v>
      </c>
      <c r="I332" s="9">
        <f t="shared" si="26"/>
        <v>39429</v>
      </c>
    </row>
    <row r="333" spans="1:9">
      <c r="A333" s="12">
        <v>45929</v>
      </c>
      <c r="B333" s="10" t="s">
        <v>114</v>
      </c>
      <c r="C333" s="27">
        <v>13893</v>
      </c>
      <c r="D333" s="11">
        <v>94</v>
      </c>
      <c r="E333" s="7">
        <f t="shared" si="25"/>
        <v>147.79787234042553</v>
      </c>
      <c r="F333" s="10">
        <v>1123</v>
      </c>
      <c r="G333" s="10" t="s">
        <v>12</v>
      </c>
      <c r="H333" s="8">
        <f t="shared" si="26"/>
        <v>2799140</v>
      </c>
      <c r="I333" s="9">
        <f t="shared" si="26"/>
        <v>39523</v>
      </c>
    </row>
    <row r="334" spans="1:9">
      <c r="A334" s="12">
        <v>45929</v>
      </c>
      <c r="B334" s="10" t="s">
        <v>114</v>
      </c>
      <c r="C334" s="27">
        <v>13775</v>
      </c>
      <c r="D334" s="11">
        <v>112</v>
      </c>
      <c r="E334" s="7">
        <f t="shared" si="25"/>
        <v>122.99107142857143</v>
      </c>
      <c r="F334" s="10">
        <v>1072</v>
      </c>
      <c r="G334" s="10" t="s">
        <v>47</v>
      </c>
      <c r="H334" s="8">
        <f t="shared" si="26"/>
        <v>2812915</v>
      </c>
      <c r="I334" s="9">
        <f t="shared" si="26"/>
        <v>39635</v>
      </c>
    </row>
    <row r="335" spans="1:9">
      <c r="A335" s="12">
        <v>45931</v>
      </c>
      <c r="B335" s="10" t="s">
        <v>115</v>
      </c>
      <c r="C335" s="27">
        <v>8156</v>
      </c>
      <c r="D335" s="11">
        <v>67</v>
      </c>
      <c r="E335" s="7">
        <f t="shared" si="25"/>
        <v>121.73134328358209</v>
      </c>
      <c r="F335" s="10">
        <v>1123</v>
      </c>
      <c r="G335" s="10" t="s">
        <v>12</v>
      </c>
      <c r="H335" s="8">
        <f t="shared" si="26"/>
        <v>2821071</v>
      </c>
      <c r="I335" s="9">
        <f t="shared" si="26"/>
        <v>39702</v>
      </c>
    </row>
    <row r="336" spans="1:9">
      <c r="A336" s="12">
        <v>45931</v>
      </c>
      <c r="B336" s="10" t="s">
        <v>115</v>
      </c>
      <c r="C336" s="27">
        <v>8700</v>
      </c>
      <c r="D336" s="11">
        <v>89</v>
      </c>
      <c r="E336" s="7">
        <f t="shared" si="25"/>
        <v>97.752808988764045</v>
      </c>
      <c r="F336" s="10">
        <v>1072</v>
      </c>
      <c r="G336" s="10" t="s">
        <v>47</v>
      </c>
      <c r="H336" s="8">
        <f t="shared" si="26"/>
        <v>2829771</v>
      </c>
      <c r="I336" s="9">
        <f t="shared" si="26"/>
        <v>39791</v>
      </c>
    </row>
    <row r="337" spans="1:9">
      <c r="A337" s="12">
        <v>45932</v>
      </c>
      <c r="B337" s="10" t="s">
        <v>115</v>
      </c>
      <c r="C337" s="27">
        <v>11479</v>
      </c>
      <c r="D337" s="11">
        <v>112</v>
      </c>
      <c r="E337" s="7">
        <f t="shared" si="25"/>
        <v>102.49107142857143</v>
      </c>
      <c r="F337" s="10">
        <v>1072</v>
      </c>
      <c r="G337" s="10" t="s">
        <v>47</v>
      </c>
      <c r="H337" s="8">
        <f t="shared" si="26"/>
        <v>2841250</v>
      </c>
      <c r="I337" s="9">
        <f t="shared" si="26"/>
        <v>39903</v>
      </c>
    </row>
    <row r="338" spans="1:9">
      <c r="A338" s="12">
        <v>45932</v>
      </c>
      <c r="B338" s="10" t="s">
        <v>115</v>
      </c>
      <c r="C338" s="27">
        <v>5625</v>
      </c>
      <c r="D338" s="11">
        <v>50</v>
      </c>
      <c r="E338" s="7">
        <f t="shared" si="25"/>
        <v>112.5</v>
      </c>
      <c r="F338" s="10">
        <v>1123</v>
      </c>
      <c r="G338" s="10" t="s">
        <v>12</v>
      </c>
      <c r="H338" s="8">
        <f t="shared" si="26"/>
        <v>2846875</v>
      </c>
      <c r="I338" s="9">
        <f t="shared" si="26"/>
        <v>39953</v>
      </c>
    </row>
    <row r="339" spans="1:9">
      <c r="A339" s="12">
        <v>45932</v>
      </c>
      <c r="B339" s="10" t="s">
        <v>116</v>
      </c>
      <c r="C339" s="27">
        <v>1170</v>
      </c>
      <c r="D339" s="11">
        <v>35</v>
      </c>
      <c r="E339" s="7">
        <f t="shared" si="25"/>
        <v>33.428571428571431</v>
      </c>
      <c r="F339" s="10">
        <v>1123</v>
      </c>
      <c r="G339" s="10" t="s">
        <v>12</v>
      </c>
      <c r="H339" s="8">
        <f t="shared" ref="H339:I354" si="27">H338+C339</f>
        <v>2848045</v>
      </c>
      <c r="I339" s="9">
        <f t="shared" si="27"/>
        <v>39988</v>
      </c>
    </row>
    <row r="340" spans="1:9">
      <c r="A340" s="12">
        <v>45933</v>
      </c>
      <c r="B340" s="10" t="s">
        <v>117</v>
      </c>
      <c r="C340" s="27">
        <v>7404</v>
      </c>
      <c r="D340" s="11">
        <v>64</v>
      </c>
      <c r="E340" s="7">
        <f t="shared" si="25"/>
        <v>115.6875</v>
      </c>
      <c r="F340" s="10">
        <v>1072</v>
      </c>
      <c r="G340" s="10" t="s">
        <v>47</v>
      </c>
      <c r="H340" s="8">
        <f t="shared" si="27"/>
        <v>2855449</v>
      </c>
      <c r="I340" s="9">
        <f t="shared" si="27"/>
        <v>40052</v>
      </c>
    </row>
    <row r="341" spans="1:9">
      <c r="A341" s="12">
        <v>45933</v>
      </c>
      <c r="B341" s="10" t="s">
        <v>117</v>
      </c>
      <c r="C341" s="27">
        <v>10089</v>
      </c>
      <c r="D341" s="11">
        <v>80</v>
      </c>
      <c r="E341" s="7">
        <f t="shared" si="25"/>
        <v>126.1125</v>
      </c>
      <c r="F341" s="10">
        <v>1123</v>
      </c>
      <c r="G341" s="10" t="s">
        <v>47</v>
      </c>
      <c r="H341" s="8">
        <f t="shared" si="27"/>
        <v>2865538</v>
      </c>
      <c r="I341" s="9">
        <f t="shared" si="27"/>
        <v>40132</v>
      </c>
    </row>
    <row r="342" spans="1:9">
      <c r="A342" s="12">
        <v>45934</v>
      </c>
      <c r="B342" s="10" t="s">
        <v>117</v>
      </c>
      <c r="C342" s="27">
        <v>10021</v>
      </c>
      <c r="D342" s="11">
        <v>65</v>
      </c>
      <c r="E342" s="7">
        <f t="shared" si="25"/>
        <v>154.16923076923078</v>
      </c>
      <c r="F342" s="10">
        <v>1123</v>
      </c>
      <c r="G342" s="10" t="s">
        <v>12</v>
      </c>
      <c r="H342" s="8">
        <f t="shared" si="27"/>
        <v>2875559</v>
      </c>
      <c r="I342" s="9">
        <f t="shared" si="27"/>
        <v>40197</v>
      </c>
    </row>
    <row r="343" spans="1:9">
      <c r="A343" s="12">
        <v>45934</v>
      </c>
      <c r="B343" s="10" t="s">
        <v>117</v>
      </c>
      <c r="C343" s="27">
        <v>12165</v>
      </c>
      <c r="D343" s="11">
        <v>66</v>
      </c>
      <c r="E343" s="7">
        <f t="shared" si="25"/>
        <v>184.31818181818181</v>
      </c>
      <c r="F343" s="10">
        <v>1072</v>
      </c>
      <c r="G343" s="10" t="s">
        <v>12</v>
      </c>
      <c r="H343" s="8">
        <f t="shared" si="27"/>
        <v>2887724</v>
      </c>
      <c r="I343" s="9">
        <f t="shared" si="27"/>
        <v>40263</v>
      </c>
    </row>
    <row r="344" spans="1:9">
      <c r="A344" s="12">
        <v>45936</v>
      </c>
      <c r="B344" s="10" t="s">
        <v>118</v>
      </c>
      <c r="C344" s="27">
        <v>19332</v>
      </c>
      <c r="D344" s="11">
        <v>153</v>
      </c>
      <c r="E344" s="7">
        <f t="shared" si="25"/>
        <v>126.35294117647059</v>
      </c>
      <c r="F344" s="10">
        <v>1072</v>
      </c>
      <c r="G344" s="10" t="s">
        <v>47</v>
      </c>
      <c r="H344" s="8">
        <f t="shared" si="27"/>
        <v>2907056</v>
      </c>
      <c r="I344" s="9">
        <f t="shared" si="27"/>
        <v>40416</v>
      </c>
    </row>
    <row r="345" spans="1:9">
      <c r="A345" s="12">
        <v>45936</v>
      </c>
      <c r="B345" s="10" t="s">
        <v>118</v>
      </c>
      <c r="C345" s="27">
        <v>17377</v>
      </c>
      <c r="D345" s="11">
        <v>160</v>
      </c>
      <c r="E345" s="7">
        <f t="shared" si="25"/>
        <v>108.60625</v>
      </c>
      <c r="F345" s="10">
        <v>1123</v>
      </c>
      <c r="G345" s="10" t="s">
        <v>12</v>
      </c>
      <c r="H345" s="8">
        <f t="shared" si="27"/>
        <v>2924433</v>
      </c>
      <c r="I345" s="9">
        <f t="shared" si="27"/>
        <v>40576</v>
      </c>
    </row>
    <row r="346" spans="1:9">
      <c r="A346" s="12">
        <v>45937</v>
      </c>
      <c r="B346" s="10" t="s">
        <v>117</v>
      </c>
      <c r="C346" s="27">
        <v>6780</v>
      </c>
      <c r="D346" s="11">
        <v>66</v>
      </c>
      <c r="E346" s="7">
        <f t="shared" si="25"/>
        <v>102.72727272727273</v>
      </c>
      <c r="F346" s="10">
        <v>1072</v>
      </c>
      <c r="G346" s="10" t="s">
        <v>47</v>
      </c>
      <c r="H346" s="8">
        <f t="shared" si="27"/>
        <v>2931213</v>
      </c>
      <c r="I346" s="9">
        <f t="shared" si="27"/>
        <v>40642</v>
      </c>
    </row>
    <row r="347" spans="1:9">
      <c r="A347" s="12">
        <v>45937</v>
      </c>
      <c r="B347" s="10" t="s">
        <v>117</v>
      </c>
      <c r="C347" s="27">
        <v>6195</v>
      </c>
      <c r="D347" s="11">
        <v>47</v>
      </c>
      <c r="E347" s="7">
        <f t="shared" si="25"/>
        <v>131.80851063829786</v>
      </c>
      <c r="F347" s="10">
        <v>1072</v>
      </c>
      <c r="G347" s="10" t="s">
        <v>47</v>
      </c>
      <c r="H347" s="8">
        <f t="shared" si="27"/>
        <v>2937408</v>
      </c>
      <c r="I347" s="9">
        <f t="shared" si="27"/>
        <v>40689</v>
      </c>
    </row>
    <row r="348" spans="1:9">
      <c r="A348" s="12">
        <v>45938</v>
      </c>
      <c r="B348" s="10" t="s">
        <v>118</v>
      </c>
      <c r="C348" s="27">
        <v>3505</v>
      </c>
      <c r="D348" s="11">
        <v>63</v>
      </c>
      <c r="E348" s="7">
        <f t="shared" si="25"/>
        <v>55.634920634920633</v>
      </c>
      <c r="F348" s="10">
        <v>1072</v>
      </c>
      <c r="G348" s="10" t="s">
        <v>47</v>
      </c>
      <c r="H348" s="8">
        <f t="shared" si="27"/>
        <v>2940913</v>
      </c>
      <c r="I348" s="9">
        <f t="shared" si="27"/>
        <v>40752</v>
      </c>
    </row>
    <row r="349" spans="1:9">
      <c r="A349" s="12">
        <v>45938</v>
      </c>
      <c r="B349" s="10" t="s">
        <v>119</v>
      </c>
      <c r="C349" s="27">
        <v>17675</v>
      </c>
      <c r="D349" s="11">
        <v>177</v>
      </c>
      <c r="E349" s="7">
        <f t="shared" si="25"/>
        <v>99.858757062146893</v>
      </c>
      <c r="F349" s="10">
        <v>1072</v>
      </c>
      <c r="G349" s="10" t="s">
        <v>47</v>
      </c>
      <c r="H349" s="8">
        <f t="shared" si="27"/>
        <v>2958588</v>
      </c>
      <c r="I349" s="9">
        <f t="shared" si="27"/>
        <v>40929</v>
      </c>
    </row>
    <row r="350" spans="1:9">
      <c r="A350" s="12">
        <v>45938</v>
      </c>
      <c r="B350" s="10" t="s">
        <v>119</v>
      </c>
      <c r="C350" s="27">
        <v>20097</v>
      </c>
      <c r="D350" s="11">
        <v>157</v>
      </c>
      <c r="E350" s="7">
        <f t="shared" si="25"/>
        <v>128.0063694267516</v>
      </c>
      <c r="F350" s="10">
        <v>1123</v>
      </c>
      <c r="G350" s="10" t="s">
        <v>12</v>
      </c>
      <c r="H350" s="8">
        <f t="shared" si="27"/>
        <v>2978685</v>
      </c>
      <c r="I350" s="9">
        <f t="shared" si="27"/>
        <v>41086</v>
      </c>
    </row>
    <row r="351" spans="1:9">
      <c r="A351" s="12">
        <v>45939</v>
      </c>
      <c r="B351" s="10" t="s">
        <v>119</v>
      </c>
      <c r="C351" s="27">
        <v>19880</v>
      </c>
      <c r="D351" s="11">
        <v>164</v>
      </c>
      <c r="F351" s="10">
        <v>1123</v>
      </c>
      <c r="G351" s="10" t="s">
        <v>12</v>
      </c>
      <c r="H351" s="8">
        <f t="shared" si="27"/>
        <v>2998565</v>
      </c>
      <c r="I351" s="9">
        <f t="shared" si="27"/>
        <v>41250</v>
      </c>
    </row>
    <row r="352" spans="1:9">
      <c r="A352" s="12">
        <v>45939</v>
      </c>
      <c r="B352" s="10" t="s">
        <v>119</v>
      </c>
      <c r="C352" s="27">
        <v>20620</v>
      </c>
      <c r="D352" s="11">
        <v>149</v>
      </c>
      <c r="E352" s="7">
        <f t="shared" si="25"/>
        <v>138.38926174496643</v>
      </c>
      <c r="F352" s="10">
        <v>1072</v>
      </c>
      <c r="G352" s="10" t="s">
        <v>47</v>
      </c>
      <c r="H352" s="8">
        <f t="shared" si="27"/>
        <v>3019185</v>
      </c>
      <c r="I352" s="9">
        <f t="shared" si="27"/>
        <v>41399</v>
      </c>
    </row>
    <row r="353" spans="1:9">
      <c r="A353" s="12">
        <v>45940</v>
      </c>
      <c r="B353" s="10" t="s">
        <v>119</v>
      </c>
      <c r="C353" s="27">
        <v>1150</v>
      </c>
      <c r="D353" s="11">
        <v>9</v>
      </c>
      <c r="E353" s="7">
        <f t="shared" si="25"/>
        <v>127.77777777777777</v>
      </c>
      <c r="F353" s="10">
        <v>1072</v>
      </c>
      <c r="G353" s="10" t="s">
        <v>47</v>
      </c>
      <c r="H353" s="8">
        <f t="shared" si="27"/>
        <v>3020335</v>
      </c>
      <c r="I353" s="9">
        <f t="shared" si="27"/>
        <v>41408</v>
      </c>
    </row>
    <row r="354" spans="1:9">
      <c r="A354" s="12">
        <v>45940</v>
      </c>
      <c r="B354" s="10" t="s">
        <v>120</v>
      </c>
      <c r="C354" s="27">
        <v>4801</v>
      </c>
      <c r="D354" s="11">
        <v>45</v>
      </c>
      <c r="E354" s="7">
        <f t="shared" si="25"/>
        <v>106.68888888888888</v>
      </c>
      <c r="F354" s="10">
        <v>1072</v>
      </c>
      <c r="G354" s="10" t="s">
        <v>47</v>
      </c>
      <c r="H354" s="8">
        <f t="shared" si="27"/>
        <v>3025136</v>
      </c>
      <c r="I354" s="9">
        <f t="shared" si="27"/>
        <v>41453</v>
      </c>
    </row>
    <row r="355" spans="1:9">
      <c r="A355" s="12">
        <v>45940</v>
      </c>
      <c r="B355" s="10" t="s">
        <v>120</v>
      </c>
      <c r="C355" s="27">
        <v>4316</v>
      </c>
      <c r="D355" s="11">
        <v>34</v>
      </c>
      <c r="E355" s="7">
        <f t="shared" si="25"/>
        <v>126.94117647058823</v>
      </c>
      <c r="F355" s="10">
        <v>1123</v>
      </c>
      <c r="G355" s="10" t="s">
        <v>12</v>
      </c>
      <c r="H355" s="8">
        <f t="shared" ref="H355:I370" si="28">H354+C355</f>
        <v>3029452</v>
      </c>
      <c r="I355" s="9">
        <f t="shared" si="28"/>
        <v>41487</v>
      </c>
    </row>
    <row r="356" spans="1:9">
      <c r="A356" s="12">
        <v>45943</v>
      </c>
      <c r="B356" s="10" t="s">
        <v>120</v>
      </c>
      <c r="C356" s="27">
        <v>9281</v>
      </c>
      <c r="D356" s="11">
        <v>72</v>
      </c>
      <c r="E356" s="7">
        <f t="shared" si="25"/>
        <v>128.90277777777777</v>
      </c>
      <c r="F356" s="10">
        <v>1123</v>
      </c>
      <c r="G356" s="10" t="s">
        <v>12</v>
      </c>
      <c r="H356" s="8">
        <f t="shared" si="28"/>
        <v>3038733</v>
      </c>
      <c r="I356" s="9">
        <f t="shared" si="28"/>
        <v>41559</v>
      </c>
    </row>
    <row r="357" spans="1:9">
      <c r="A357" s="12">
        <v>45943</v>
      </c>
      <c r="B357" s="10" t="s">
        <v>120</v>
      </c>
      <c r="C357" s="27">
        <v>15689</v>
      </c>
      <c r="D357" s="11">
        <v>122</v>
      </c>
      <c r="E357" s="7">
        <f t="shared" si="25"/>
        <v>128.59836065573771</v>
      </c>
      <c r="F357" s="10">
        <v>1072</v>
      </c>
      <c r="G357" s="10" t="s">
        <v>47</v>
      </c>
      <c r="H357" s="8">
        <f t="shared" si="28"/>
        <v>3054422</v>
      </c>
      <c r="I357" s="9">
        <f t="shared" si="28"/>
        <v>41681</v>
      </c>
    </row>
    <row r="358" spans="1:9">
      <c r="A358" s="12">
        <v>45944</v>
      </c>
      <c r="B358" s="10" t="s">
        <v>121</v>
      </c>
      <c r="C358" s="27">
        <v>6084</v>
      </c>
      <c r="D358" s="11">
        <v>33</v>
      </c>
      <c r="E358" s="7">
        <f t="shared" si="25"/>
        <v>184.36363636363637</v>
      </c>
      <c r="F358" s="10">
        <v>1072</v>
      </c>
      <c r="G358" s="10" t="s">
        <v>47</v>
      </c>
      <c r="H358" s="8">
        <f t="shared" si="28"/>
        <v>3060506</v>
      </c>
      <c r="I358" s="9">
        <f t="shared" si="28"/>
        <v>41714</v>
      </c>
    </row>
    <row r="359" spans="1:9">
      <c r="A359" s="12">
        <v>45945</v>
      </c>
      <c r="B359" s="10" t="s">
        <v>122</v>
      </c>
      <c r="C359" s="27">
        <v>5405</v>
      </c>
      <c r="D359" s="11">
        <v>44</v>
      </c>
      <c r="E359" s="7">
        <f t="shared" si="25"/>
        <v>122.84090909090909</v>
      </c>
      <c r="F359" s="10">
        <v>1072</v>
      </c>
      <c r="G359" s="10" t="s">
        <v>47</v>
      </c>
      <c r="H359" s="8">
        <f t="shared" si="28"/>
        <v>3065911</v>
      </c>
      <c r="I359" s="9">
        <f t="shared" si="28"/>
        <v>41758</v>
      </c>
    </row>
    <row r="360" spans="1:9">
      <c r="A360" s="12">
        <v>45945</v>
      </c>
      <c r="B360" s="10" t="s">
        <v>122</v>
      </c>
      <c r="C360" s="27">
        <v>6361</v>
      </c>
      <c r="D360" s="11">
        <v>89</v>
      </c>
      <c r="E360" s="7">
        <f t="shared" si="25"/>
        <v>71.471910112359552</v>
      </c>
      <c r="F360" s="10">
        <v>1123</v>
      </c>
      <c r="G360" s="10" t="s">
        <v>12</v>
      </c>
      <c r="H360" s="8">
        <f t="shared" si="28"/>
        <v>3072272</v>
      </c>
      <c r="I360" s="9">
        <f t="shared" si="28"/>
        <v>41847</v>
      </c>
    </row>
    <row r="361" spans="1:9">
      <c r="A361" s="12">
        <v>45946</v>
      </c>
      <c r="B361" s="10" t="s">
        <v>122</v>
      </c>
      <c r="C361" s="27">
        <v>17306</v>
      </c>
      <c r="D361" s="11">
        <v>143</v>
      </c>
      <c r="E361" s="7">
        <f t="shared" si="25"/>
        <v>121.02097902097903</v>
      </c>
      <c r="F361" s="10">
        <v>1123</v>
      </c>
      <c r="G361" s="10" t="s">
        <v>12</v>
      </c>
      <c r="H361" s="8">
        <f t="shared" si="28"/>
        <v>3089578</v>
      </c>
      <c r="I361" s="9">
        <f t="shared" si="28"/>
        <v>41990</v>
      </c>
    </row>
    <row r="362" spans="1:9">
      <c r="A362" s="12">
        <v>45946</v>
      </c>
      <c r="B362" s="10" t="s">
        <v>122</v>
      </c>
      <c r="C362" s="27">
        <v>11720</v>
      </c>
      <c r="D362" s="11">
        <v>97</v>
      </c>
      <c r="E362" s="7">
        <f t="shared" si="25"/>
        <v>120.82474226804123</v>
      </c>
      <c r="F362" s="10">
        <v>1072</v>
      </c>
      <c r="G362" s="10" t="s">
        <v>47</v>
      </c>
      <c r="H362" s="8">
        <f t="shared" si="28"/>
        <v>3101298</v>
      </c>
      <c r="I362" s="9">
        <f t="shared" si="28"/>
        <v>42087</v>
      </c>
    </row>
    <row r="363" spans="1:9">
      <c r="A363" s="12">
        <v>45947</v>
      </c>
      <c r="B363" s="10" t="s">
        <v>123</v>
      </c>
      <c r="C363" s="27">
        <v>1078</v>
      </c>
      <c r="D363" s="11">
        <v>56</v>
      </c>
      <c r="E363" s="7">
        <f t="shared" si="25"/>
        <v>19.25</v>
      </c>
      <c r="F363" s="10">
        <v>1123</v>
      </c>
      <c r="G363" s="10" t="s">
        <v>12</v>
      </c>
      <c r="H363" s="8">
        <f t="shared" si="28"/>
        <v>3102376</v>
      </c>
      <c r="I363" s="9">
        <f t="shared" si="28"/>
        <v>42143</v>
      </c>
    </row>
    <row r="364" spans="1:9">
      <c r="A364" s="12">
        <v>45950</v>
      </c>
      <c r="B364" s="10" t="s">
        <v>124</v>
      </c>
      <c r="C364" s="27">
        <v>9075</v>
      </c>
      <c r="D364" s="11">
        <v>154</v>
      </c>
      <c r="E364" s="7">
        <f t="shared" si="25"/>
        <v>58.928571428571431</v>
      </c>
      <c r="F364" s="10">
        <v>1072</v>
      </c>
      <c r="G364" s="10" t="s">
        <v>47</v>
      </c>
      <c r="H364" s="8">
        <f t="shared" si="28"/>
        <v>3111451</v>
      </c>
      <c r="I364" s="9">
        <f t="shared" si="28"/>
        <v>42297</v>
      </c>
    </row>
    <row r="365" spans="1:9">
      <c r="A365" s="12">
        <v>45950</v>
      </c>
      <c r="B365" s="10" t="s">
        <v>124</v>
      </c>
      <c r="C365" s="27">
        <v>10172</v>
      </c>
      <c r="D365" s="11">
        <v>196</v>
      </c>
      <c r="E365" s="7">
        <f t="shared" si="25"/>
        <v>51.897959183673471</v>
      </c>
      <c r="F365" s="10">
        <v>1123</v>
      </c>
      <c r="G365" s="10" t="s">
        <v>12</v>
      </c>
      <c r="H365" s="8">
        <f t="shared" si="28"/>
        <v>3121623</v>
      </c>
      <c r="I365" s="9">
        <f t="shared" si="28"/>
        <v>42493</v>
      </c>
    </row>
    <row r="366" spans="1:9">
      <c r="A366" s="12">
        <v>45951</v>
      </c>
      <c r="B366" s="10" t="s">
        <v>125</v>
      </c>
      <c r="C366" s="27">
        <v>9831</v>
      </c>
      <c r="D366" s="11">
        <v>76</v>
      </c>
      <c r="E366" s="7">
        <f t="shared" si="25"/>
        <v>129.35526315789474</v>
      </c>
      <c r="F366" s="10">
        <v>1123</v>
      </c>
      <c r="G366" s="10" t="s">
        <v>12</v>
      </c>
      <c r="H366" s="8">
        <f t="shared" si="28"/>
        <v>3131454</v>
      </c>
      <c r="I366" s="9">
        <f t="shared" si="28"/>
        <v>42569</v>
      </c>
    </row>
    <row r="367" spans="1:9">
      <c r="A367" s="12">
        <v>45951</v>
      </c>
      <c r="B367" s="10" t="s">
        <v>125</v>
      </c>
      <c r="C367" s="27">
        <v>6443</v>
      </c>
      <c r="D367" s="11">
        <v>75</v>
      </c>
      <c r="E367" s="7">
        <f t="shared" si="25"/>
        <v>85.906666666666666</v>
      </c>
      <c r="F367" s="10">
        <v>1072</v>
      </c>
      <c r="G367" s="10" t="s">
        <v>47</v>
      </c>
      <c r="H367" s="8">
        <f t="shared" si="28"/>
        <v>3137897</v>
      </c>
      <c r="I367" s="9">
        <f t="shared" si="28"/>
        <v>42644</v>
      </c>
    </row>
    <row r="368" spans="1:9">
      <c r="A368" s="12">
        <v>45952</v>
      </c>
      <c r="B368" s="10" t="s">
        <v>125</v>
      </c>
      <c r="C368" s="27">
        <v>21022</v>
      </c>
      <c r="D368" s="11">
        <v>172</v>
      </c>
      <c r="E368" s="7">
        <f t="shared" si="25"/>
        <v>122.22093023255815</v>
      </c>
      <c r="F368" s="10">
        <v>1123</v>
      </c>
      <c r="G368" s="10" t="s">
        <v>12</v>
      </c>
      <c r="H368" s="8">
        <f t="shared" si="28"/>
        <v>3158919</v>
      </c>
      <c r="I368" s="9">
        <f t="shared" si="28"/>
        <v>42816</v>
      </c>
    </row>
    <row r="369" spans="1:9">
      <c r="A369" s="12">
        <v>45952</v>
      </c>
      <c r="B369" s="10" t="s">
        <v>125</v>
      </c>
      <c r="C369" s="27">
        <v>22992</v>
      </c>
      <c r="D369" s="11">
        <v>164</v>
      </c>
      <c r="E369" s="7">
        <f t="shared" si="25"/>
        <v>140.19512195121951</v>
      </c>
      <c r="F369" s="10">
        <v>1072</v>
      </c>
      <c r="G369" s="10" t="s">
        <v>47</v>
      </c>
      <c r="H369" s="8">
        <f t="shared" si="28"/>
        <v>3181911</v>
      </c>
      <c r="I369" s="9">
        <f t="shared" si="28"/>
        <v>42980</v>
      </c>
    </row>
    <row r="370" spans="1:9">
      <c r="A370" s="12">
        <v>45953</v>
      </c>
      <c r="B370" s="10" t="s">
        <v>125</v>
      </c>
      <c r="C370" s="27">
        <v>1839</v>
      </c>
      <c r="D370" s="11">
        <v>22</v>
      </c>
      <c r="E370" s="7">
        <f t="shared" si="25"/>
        <v>83.590909090909093</v>
      </c>
      <c r="F370" s="10">
        <v>1123</v>
      </c>
      <c r="G370" s="10" t="s">
        <v>12</v>
      </c>
      <c r="H370" s="8">
        <f t="shared" si="28"/>
        <v>3183750</v>
      </c>
      <c r="I370" s="9">
        <f t="shared" si="28"/>
        <v>43002</v>
      </c>
    </row>
    <row r="371" spans="1:9">
      <c r="A371" s="12">
        <v>45953</v>
      </c>
      <c r="B371" s="10" t="s">
        <v>126</v>
      </c>
      <c r="C371" s="27">
        <v>4177</v>
      </c>
      <c r="D371" s="11">
        <v>42</v>
      </c>
      <c r="E371" s="7">
        <f t="shared" si="25"/>
        <v>99.452380952380949</v>
      </c>
      <c r="F371" s="10">
        <v>1072</v>
      </c>
      <c r="G371" s="10" t="s">
        <v>47</v>
      </c>
      <c r="H371" s="8">
        <f t="shared" ref="H371:I386" si="29">H370+C371</f>
        <v>3187927</v>
      </c>
      <c r="I371" s="9">
        <f t="shared" si="29"/>
        <v>43044</v>
      </c>
    </row>
    <row r="372" spans="1:9">
      <c r="A372" s="12">
        <v>45954</v>
      </c>
      <c r="B372" s="10" t="s">
        <v>126</v>
      </c>
      <c r="C372" s="27">
        <v>8475</v>
      </c>
      <c r="D372" s="11">
        <v>65</v>
      </c>
      <c r="E372" s="7">
        <f t="shared" si="25"/>
        <v>130.38461538461539</v>
      </c>
      <c r="F372" s="10">
        <v>1123</v>
      </c>
      <c r="G372" s="10" t="s">
        <v>12</v>
      </c>
      <c r="H372" s="8">
        <f t="shared" si="29"/>
        <v>3196402</v>
      </c>
      <c r="I372" s="9">
        <f t="shared" si="29"/>
        <v>43109</v>
      </c>
    </row>
    <row r="373" spans="1:9">
      <c r="A373" s="12">
        <v>45955</v>
      </c>
      <c r="B373" s="10" t="s">
        <v>127</v>
      </c>
      <c r="C373" s="27">
        <v>10051</v>
      </c>
      <c r="D373" s="11">
        <v>73</v>
      </c>
      <c r="E373" s="7">
        <f t="shared" si="25"/>
        <v>137.68493150684932</v>
      </c>
      <c r="F373" s="10">
        <v>1123</v>
      </c>
      <c r="G373" s="10" t="s">
        <v>12</v>
      </c>
      <c r="H373" s="8">
        <f t="shared" si="29"/>
        <v>3206453</v>
      </c>
      <c r="I373" s="9">
        <f t="shared" si="29"/>
        <v>43182</v>
      </c>
    </row>
    <row r="374" spans="1:9">
      <c r="A374" s="12">
        <v>45955</v>
      </c>
      <c r="B374" s="10" t="s">
        <v>127</v>
      </c>
      <c r="C374" s="27">
        <v>10925</v>
      </c>
      <c r="D374" s="11">
        <v>76</v>
      </c>
      <c r="E374" s="7">
        <f t="shared" si="25"/>
        <v>143.75</v>
      </c>
      <c r="F374" s="10">
        <v>1072</v>
      </c>
      <c r="G374" s="10" t="s">
        <v>47</v>
      </c>
      <c r="H374" s="8">
        <f t="shared" si="29"/>
        <v>3217378</v>
      </c>
      <c r="I374" s="9">
        <f t="shared" si="29"/>
        <v>43258</v>
      </c>
    </row>
    <row r="375" spans="1:9">
      <c r="A375" s="12">
        <v>45957</v>
      </c>
      <c r="B375" s="10" t="s">
        <v>127</v>
      </c>
      <c r="C375" s="27">
        <v>11492</v>
      </c>
      <c r="D375" s="11">
        <v>91</v>
      </c>
      <c r="E375" s="7">
        <f t="shared" si="25"/>
        <v>126.28571428571429</v>
      </c>
      <c r="F375" s="10">
        <v>1072</v>
      </c>
      <c r="G375" s="10" t="s">
        <v>47</v>
      </c>
      <c r="H375" s="8">
        <f t="shared" si="29"/>
        <v>3228870</v>
      </c>
      <c r="I375" s="9">
        <f t="shared" si="29"/>
        <v>43349</v>
      </c>
    </row>
    <row r="376" spans="1:9">
      <c r="A376" s="12">
        <v>45957</v>
      </c>
      <c r="B376" s="10" t="s">
        <v>127</v>
      </c>
      <c r="C376" s="27">
        <v>9051</v>
      </c>
      <c r="D376" s="11">
        <v>76</v>
      </c>
      <c r="E376" s="7">
        <f t="shared" si="25"/>
        <v>119.09210526315789</v>
      </c>
      <c r="F376" s="10">
        <v>1072</v>
      </c>
      <c r="G376" s="10" t="s">
        <v>12</v>
      </c>
      <c r="H376" s="8">
        <f t="shared" si="29"/>
        <v>3237921</v>
      </c>
      <c r="I376" s="9">
        <f t="shared" si="29"/>
        <v>43425</v>
      </c>
    </row>
    <row r="377" spans="1:9">
      <c r="A377" s="12">
        <v>45957</v>
      </c>
      <c r="B377" s="10" t="s">
        <v>127</v>
      </c>
      <c r="C377" s="27">
        <v>10300</v>
      </c>
      <c r="D377" s="11">
        <v>86</v>
      </c>
      <c r="E377" s="7">
        <f t="shared" si="25"/>
        <v>119.76744186046511</v>
      </c>
      <c r="F377" s="10">
        <v>1123</v>
      </c>
      <c r="G377" s="10" t="s">
        <v>47</v>
      </c>
      <c r="H377" s="8">
        <f t="shared" si="29"/>
        <v>3248221</v>
      </c>
      <c r="I377" s="9">
        <f t="shared" si="29"/>
        <v>43511</v>
      </c>
    </row>
    <row r="378" spans="1:9">
      <c r="A378" s="12">
        <v>45958</v>
      </c>
      <c r="B378" s="10" t="s">
        <v>127</v>
      </c>
      <c r="C378" s="27">
        <v>4200</v>
      </c>
      <c r="D378" s="11">
        <v>52</v>
      </c>
      <c r="E378" s="7">
        <f t="shared" si="25"/>
        <v>80.769230769230774</v>
      </c>
      <c r="F378" s="10">
        <v>1072</v>
      </c>
      <c r="G378" s="10" t="s">
        <v>12</v>
      </c>
      <c r="H378" s="8">
        <f t="shared" si="29"/>
        <v>3252421</v>
      </c>
      <c r="I378" s="9">
        <f t="shared" si="29"/>
        <v>43563</v>
      </c>
    </row>
    <row r="379" spans="1:9">
      <c r="A379" s="12">
        <v>45958</v>
      </c>
      <c r="B379" s="10" t="s">
        <v>127</v>
      </c>
      <c r="C379" s="27">
        <v>5923</v>
      </c>
      <c r="D379" s="11">
        <v>47</v>
      </c>
      <c r="E379" s="7">
        <f t="shared" si="25"/>
        <v>126.02127659574468</v>
      </c>
      <c r="F379" s="10">
        <v>1123</v>
      </c>
      <c r="G379" s="10" t="s">
        <v>47</v>
      </c>
      <c r="H379" s="8">
        <f t="shared" si="29"/>
        <v>3258344</v>
      </c>
      <c r="I379" s="9">
        <f t="shared" si="29"/>
        <v>43610</v>
      </c>
    </row>
    <row r="380" spans="1:9">
      <c r="A380" s="12">
        <v>45959</v>
      </c>
      <c r="B380" s="10" t="s">
        <v>128</v>
      </c>
      <c r="C380" s="27">
        <v>14237</v>
      </c>
      <c r="D380" s="11">
        <v>109</v>
      </c>
      <c r="E380" s="7">
        <f t="shared" si="25"/>
        <v>130.61467889908258</v>
      </c>
      <c r="F380" s="10">
        <v>1072</v>
      </c>
      <c r="G380" s="10" t="s">
        <v>12</v>
      </c>
      <c r="H380" s="8">
        <f t="shared" si="29"/>
        <v>3272581</v>
      </c>
      <c r="I380" s="9">
        <f t="shared" si="29"/>
        <v>43719</v>
      </c>
    </row>
    <row r="381" spans="1:9">
      <c r="A381" s="12">
        <v>45959</v>
      </c>
      <c r="B381" s="10" t="s">
        <v>128</v>
      </c>
      <c r="C381" s="27">
        <v>17307</v>
      </c>
      <c r="D381" s="11">
        <v>153</v>
      </c>
      <c r="E381" s="7">
        <f t="shared" si="25"/>
        <v>113.11764705882354</v>
      </c>
      <c r="F381" s="10">
        <v>1123</v>
      </c>
      <c r="G381" s="10" t="s">
        <v>47</v>
      </c>
      <c r="H381" s="8">
        <f t="shared" si="29"/>
        <v>3289888</v>
      </c>
      <c r="I381" s="9">
        <f t="shared" si="29"/>
        <v>43872</v>
      </c>
    </row>
    <row r="382" spans="1:9">
      <c r="A382" s="12">
        <v>45961</v>
      </c>
      <c r="B382" s="10" t="s">
        <v>129</v>
      </c>
      <c r="C382" s="27">
        <v>10077</v>
      </c>
      <c r="D382" s="11">
        <v>74</v>
      </c>
      <c r="E382" s="7">
        <f t="shared" si="25"/>
        <v>136.17567567567568</v>
      </c>
      <c r="F382" s="10">
        <v>1123</v>
      </c>
      <c r="G382" s="10" t="s">
        <v>47</v>
      </c>
      <c r="H382" s="8">
        <f t="shared" si="29"/>
        <v>3299965</v>
      </c>
      <c r="I382" s="9">
        <f t="shared" si="29"/>
        <v>43946</v>
      </c>
    </row>
    <row r="383" spans="1:9">
      <c r="A383" s="12">
        <v>45961</v>
      </c>
      <c r="B383" s="10" t="s">
        <v>129</v>
      </c>
      <c r="C383" s="27">
        <v>10407</v>
      </c>
      <c r="D383" s="11">
        <v>75</v>
      </c>
      <c r="E383" s="7">
        <f t="shared" si="25"/>
        <v>138.76</v>
      </c>
      <c r="F383" s="10">
        <v>1072</v>
      </c>
      <c r="G383" s="10" t="s">
        <v>12</v>
      </c>
      <c r="H383" s="8">
        <f t="shared" si="29"/>
        <v>3310372</v>
      </c>
      <c r="I383" s="9">
        <f t="shared" si="29"/>
        <v>44021</v>
      </c>
    </row>
    <row r="384" spans="1:9">
      <c r="A384" s="12">
        <v>45962</v>
      </c>
      <c r="B384" s="10" t="s">
        <v>129</v>
      </c>
      <c r="C384" s="27">
        <v>9641</v>
      </c>
      <c r="D384" s="11">
        <v>75</v>
      </c>
      <c r="E384" s="7">
        <f t="shared" si="25"/>
        <v>128.54666666666665</v>
      </c>
      <c r="F384" s="10">
        <v>1123</v>
      </c>
      <c r="G384" s="10" t="s">
        <v>12</v>
      </c>
      <c r="H384" s="8">
        <f t="shared" si="29"/>
        <v>3320013</v>
      </c>
      <c r="I384" s="9">
        <f t="shared" si="29"/>
        <v>44096</v>
      </c>
    </row>
    <row r="385" spans="1:9">
      <c r="A385" s="12">
        <v>45962</v>
      </c>
      <c r="B385" s="10" t="s">
        <v>129</v>
      </c>
      <c r="C385" s="27">
        <v>7218</v>
      </c>
      <c r="D385" s="11">
        <v>99</v>
      </c>
      <c r="E385" s="7">
        <f t="shared" si="25"/>
        <v>72.909090909090907</v>
      </c>
      <c r="F385" s="10">
        <v>1123</v>
      </c>
      <c r="G385" s="10" t="s">
        <v>47</v>
      </c>
      <c r="H385" s="8">
        <f t="shared" si="29"/>
        <v>3327231</v>
      </c>
      <c r="I385" s="9">
        <f t="shared" si="29"/>
        <v>44195</v>
      </c>
    </row>
    <row r="386" spans="1:9">
      <c r="A386" s="12">
        <v>45964</v>
      </c>
      <c r="B386" s="10" t="s">
        <v>129</v>
      </c>
      <c r="C386" s="27">
        <v>10133</v>
      </c>
      <c r="D386" s="11">
        <v>83</v>
      </c>
      <c r="E386" s="7">
        <f t="shared" ref="E386:E449" si="30">IF(D386&gt;0,(C386/D386),"*")</f>
        <v>122.08433734939759</v>
      </c>
      <c r="F386" s="10">
        <v>1123</v>
      </c>
      <c r="G386" s="10" t="s">
        <v>47</v>
      </c>
      <c r="H386" s="8">
        <f t="shared" si="29"/>
        <v>3337364</v>
      </c>
      <c r="I386" s="9">
        <f t="shared" si="29"/>
        <v>44278</v>
      </c>
    </row>
    <row r="387" spans="1:9">
      <c r="A387" s="12">
        <v>45964</v>
      </c>
      <c r="B387" s="10" t="s">
        <v>129</v>
      </c>
      <c r="C387" s="27">
        <v>11360</v>
      </c>
      <c r="D387" s="11">
        <v>112</v>
      </c>
      <c r="E387" s="7">
        <f t="shared" si="30"/>
        <v>101.42857142857143</v>
      </c>
      <c r="F387" s="10">
        <v>1123</v>
      </c>
      <c r="G387" s="10" t="s">
        <v>12</v>
      </c>
      <c r="H387" s="8">
        <f t="shared" ref="H387:I402" si="31">H386+C387</f>
        <v>3348724</v>
      </c>
      <c r="I387" s="9">
        <f t="shared" si="31"/>
        <v>44390</v>
      </c>
    </row>
    <row r="388" spans="1:9">
      <c r="A388" s="12">
        <v>45964</v>
      </c>
      <c r="B388" s="10" t="s">
        <v>129</v>
      </c>
      <c r="C388" s="27">
        <v>815</v>
      </c>
      <c r="D388" s="11">
        <v>15</v>
      </c>
      <c r="E388" s="7">
        <f t="shared" si="30"/>
        <v>54.333333333333336</v>
      </c>
      <c r="F388" s="10">
        <v>1072</v>
      </c>
      <c r="G388" s="10" t="s">
        <v>47</v>
      </c>
      <c r="H388" s="8">
        <f t="shared" si="31"/>
        <v>3349539</v>
      </c>
      <c r="I388" s="9">
        <f t="shared" si="31"/>
        <v>44405</v>
      </c>
    </row>
    <row r="389" spans="1:9">
      <c r="A389" s="12">
        <v>45964</v>
      </c>
      <c r="B389" s="10" t="s">
        <v>130</v>
      </c>
      <c r="C389" s="27">
        <v>11012</v>
      </c>
      <c r="D389" s="11">
        <v>50</v>
      </c>
      <c r="E389" s="7">
        <f t="shared" si="30"/>
        <v>220.24</v>
      </c>
      <c r="F389" s="10">
        <v>1072</v>
      </c>
      <c r="G389" s="10" t="s">
        <v>12</v>
      </c>
      <c r="H389" s="8">
        <f t="shared" si="31"/>
        <v>3360551</v>
      </c>
      <c r="I389" s="9">
        <f t="shared" si="31"/>
        <v>44455</v>
      </c>
    </row>
    <row r="390" spans="1:9">
      <c r="A390" s="12">
        <v>45965</v>
      </c>
      <c r="B390" s="10" t="s">
        <v>130</v>
      </c>
      <c r="C390" s="27">
        <v>13001</v>
      </c>
      <c r="D390" s="11">
        <v>79</v>
      </c>
      <c r="E390" s="7">
        <f t="shared" si="30"/>
        <v>164.56962025316454</v>
      </c>
      <c r="F390" s="10">
        <v>1072</v>
      </c>
      <c r="G390" s="10" t="s">
        <v>12</v>
      </c>
      <c r="H390" s="8">
        <f t="shared" si="31"/>
        <v>3373552</v>
      </c>
      <c r="I390" s="9">
        <f t="shared" si="31"/>
        <v>44534</v>
      </c>
    </row>
    <row r="391" spans="1:9">
      <c r="A391" s="12">
        <v>45965</v>
      </c>
      <c r="B391" s="10" t="s">
        <v>130</v>
      </c>
      <c r="C391" s="27">
        <v>5996</v>
      </c>
      <c r="D391" s="11">
        <v>51</v>
      </c>
      <c r="E391" s="7">
        <f t="shared" si="30"/>
        <v>117.56862745098039</v>
      </c>
      <c r="F391" s="10">
        <v>1123</v>
      </c>
      <c r="G391" s="10" t="s">
        <v>47</v>
      </c>
      <c r="H391" s="8">
        <f t="shared" si="31"/>
        <v>3379548</v>
      </c>
      <c r="I391" s="9">
        <f t="shared" si="31"/>
        <v>44585</v>
      </c>
    </row>
    <row r="392" spans="1:9">
      <c r="A392" s="12">
        <v>45966</v>
      </c>
      <c r="B392" s="10" t="s">
        <v>131</v>
      </c>
      <c r="C392" s="27">
        <v>2798</v>
      </c>
      <c r="D392" s="11">
        <v>68</v>
      </c>
      <c r="E392" s="7">
        <f t="shared" si="30"/>
        <v>41.147058823529413</v>
      </c>
      <c r="F392" s="10">
        <v>1123</v>
      </c>
      <c r="G392" s="10" t="s">
        <v>47</v>
      </c>
      <c r="H392" s="8">
        <f t="shared" si="31"/>
        <v>3382346</v>
      </c>
      <c r="I392" s="9">
        <f t="shared" si="31"/>
        <v>44653</v>
      </c>
    </row>
    <row r="393" spans="1:9">
      <c r="A393" s="12">
        <v>45966</v>
      </c>
      <c r="B393" s="10" t="s">
        <v>131</v>
      </c>
      <c r="C393" s="27">
        <v>6914</v>
      </c>
      <c r="D393" s="11">
        <v>58</v>
      </c>
      <c r="E393" s="7">
        <f t="shared" si="30"/>
        <v>119.20689655172414</v>
      </c>
      <c r="F393" s="10">
        <v>1072</v>
      </c>
      <c r="G393" s="10" t="s">
        <v>12</v>
      </c>
      <c r="H393" s="8">
        <f t="shared" si="31"/>
        <v>3389260</v>
      </c>
      <c r="I393" s="9">
        <f t="shared" si="31"/>
        <v>44711</v>
      </c>
    </row>
    <row r="394" spans="1:9">
      <c r="A394" s="12">
        <v>45967</v>
      </c>
      <c r="B394" s="10" t="s">
        <v>131</v>
      </c>
      <c r="C394" s="27">
        <v>10231</v>
      </c>
      <c r="D394" s="11">
        <v>115</v>
      </c>
      <c r="E394" s="7">
        <f t="shared" si="30"/>
        <v>88.96521739130435</v>
      </c>
      <c r="F394" s="10">
        <v>1123</v>
      </c>
      <c r="G394" s="10" t="s">
        <v>47</v>
      </c>
      <c r="H394" s="8">
        <f t="shared" si="31"/>
        <v>3399491</v>
      </c>
      <c r="I394" s="9">
        <f t="shared" si="31"/>
        <v>44826</v>
      </c>
    </row>
    <row r="395" spans="1:9">
      <c r="A395" s="12">
        <v>45967</v>
      </c>
      <c r="B395" s="10" t="s">
        <v>131</v>
      </c>
      <c r="C395" s="27">
        <v>3735</v>
      </c>
      <c r="D395" s="11">
        <v>31</v>
      </c>
      <c r="E395" s="7">
        <f t="shared" si="30"/>
        <v>120.48387096774194</v>
      </c>
      <c r="F395" s="10">
        <v>1072</v>
      </c>
      <c r="G395" s="10" t="s">
        <v>12</v>
      </c>
      <c r="H395" s="8">
        <f>H394+C395</f>
        <v>3403226</v>
      </c>
      <c r="I395" s="9">
        <f t="shared" si="31"/>
        <v>44857</v>
      </c>
    </row>
    <row r="396" spans="1:9">
      <c r="A396" s="12">
        <v>45971</v>
      </c>
      <c r="B396" s="10" t="s">
        <v>132</v>
      </c>
      <c r="C396" s="27">
        <v>15721</v>
      </c>
      <c r="D396" s="11">
        <v>122</v>
      </c>
      <c r="E396" s="7">
        <f t="shared" si="30"/>
        <v>128.86065573770492</v>
      </c>
      <c r="F396" s="10">
        <v>1123</v>
      </c>
      <c r="G396" s="10" t="s">
        <v>47</v>
      </c>
      <c r="H396" s="8">
        <f t="shared" si="31"/>
        <v>3418947</v>
      </c>
      <c r="I396" s="9">
        <f t="shared" si="31"/>
        <v>44979</v>
      </c>
    </row>
    <row r="397" spans="1:9">
      <c r="A397" s="12">
        <v>45971</v>
      </c>
      <c r="B397" s="10" t="s">
        <v>132</v>
      </c>
      <c r="C397" s="27">
        <v>17479</v>
      </c>
      <c r="D397" s="11">
        <v>163</v>
      </c>
      <c r="E397" s="7">
        <f t="shared" si="30"/>
        <v>107.23312883435582</v>
      </c>
      <c r="F397" s="10">
        <v>1072</v>
      </c>
      <c r="G397" s="10" t="s">
        <v>12</v>
      </c>
      <c r="H397" s="8">
        <f t="shared" si="31"/>
        <v>3436426</v>
      </c>
      <c r="I397" s="9">
        <f t="shared" si="31"/>
        <v>45142</v>
      </c>
    </row>
    <row r="398" spans="1:9">
      <c r="A398" s="12">
        <v>45973</v>
      </c>
      <c r="B398" s="10" t="s">
        <v>133</v>
      </c>
      <c r="C398" s="27">
        <v>4315</v>
      </c>
      <c r="D398" s="11">
        <v>43</v>
      </c>
      <c r="E398" s="7">
        <f t="shared" si="30"/>
        <v>100.34883720930233</v>
      </c>
      <c r="F398" s="10">
        <v>1072</v>
      </c>
      <c r="G398" s="10" t="s">
        <v>12</v>
      </c>
      <c r="H398" s="8">
        <f t="shared" si="31"/>
        <v>3440741</v>
      </c>
      <c r="I398" s="9">
        <f t="shared" si="31"/>
        <v>45185</v>
      </c>
    </row>
    <row r="399" spans="1:9">
      <c r="A399" s="12">
        <v>45973</v>
      </c>
      <c r="B399" s="10" t="s">
        <v>133</v>
      </c>
      <c r="C399" s="27">
        <v>4210</v>
      </c>
      <c r="D399" s="11">
        <v>73</v>
      </c>
      <c r="E399" s="7">
        <f t="shared" si="30"/>
        <v>57.671232876712331</v>
      </c>
      <c r="F399" s="10">
        <v>1123</v>
      </c>
      <c r="G399" s="10" t="s">
        <v>47</v>
      </c>
      <c r="H399" s="8">
        <f t="shared" si="31"/>
        <v>3444951</v>
      </c>
      <c r="I399" s="9">
        <f t="shared" si="31"/>
        <v>45258</v>
      </c>
    </row>
    <row r="400" spans="1:9">
      <c r="A400" s="12">
        <v>45974</v>
      </c>
      <c r="B400" s="10" t="s">
        <v>133</v>
      </c>
      <c r="C400" s="27">
        <v>16155</v>
      </c>
      <c r="D400" s="11">
        <v>135</v>
      </c>
      <c r="E400" s="7">
        <f t="shared" si="30"/>
        <v>119.66666666666667</v>
      </c>
      <c r="F400" s="10">
        <v>1123</v>
      </c>
      <c r="G400" s="10" t="s">
        <v>12</v>
      </c>
      <c r="H400" s="8">
        <f t="shared" si="31"/>
        <v>3461106</v>
      </c>
      <c r="I400" s="9">
        <f t="shared" si="31"/>
        <v>45393</v>
      </c>
    </row>
    <row r="401" spans="1:9">
      <c r="A401" s="12">
        <v>45974</v>
      </c>
      <c r="B401" s="10" t="s">
        <v>133</v>
      </c>
      <c r="C401" s="27">
        <v>21509</v>
      </c>
      <c r="D401" s="11">
        <v>201</v>
      </c>
      <c r="E401" s="7">
        <f t="shared" si="30"/>
        <v>107.00995024875621</v>
      </c>
      <c r="F401" s="10">
        <v>1072</v>
      </c>
      <c r="G401" s="10" t="s">
        <v>47</v>
      </c>
      <c r="H401" s="8">
        <f t="shared" si="31"/>
        <v>3482615</v>
      </c>
      <c r="I401" s="9">
        <f t="shared" si="31"/>
        <v>45594</v>
      </c>
    </row>
    <row r="402" spans="1:9">
      <c r="A402" s="12">
        <v>45975</v>
      </c>
      <c r="B402" s="10" t="s">
        <v>134</v>
      </c>
      <c r="C402" s="27">
        <v>2858</v>
      </c>
      <c r="D402" s="11">
        <v>84</v>
      </c>
      <c r="E402" s="7">
        <f t="shared" si="30"/>
        <v>34.023809523809526</v>
      </c>
      <c r="F402" s="10">
        <v>1072</v>
      </c>
      <c r="G402" s="10" t="s">
        <v>12</v>
      </c>
      <c r="H402" s="8">
        <f t="shared" si="31"/>
        <v>3485473</v>
      </c>
      <c r="I402" s="9">
        <f t="shared" si="31"/>
        <v>45678</v>
      </c>
    </row>
    <row r="403" spans="1:9">
      <c r="A403" s="12">
        <v>45978</v>
      </c>
      <c r="B403" s="10" t="s">
        <v>134</v>
      </c>
      <c r="C403" s="27">
        <v>311</v>
      </c>
      <c r="D403" s="11">
        <v>16</v>
      </c>
      <c r="E403" s="7">
        <f t="shared" si="30"/>
        <v>19.4375</v>
      </c>
      <c r="F403" s="10">
        <v>1072</v>
      </c>
      <c r="G403" s="10" t="s">
        <v>12</v>
      </c>
      <c r="H403" s="8">
        <f t="shared" ref="H403:I418" si="32">H402+C403</f>
        <v>3485784</v>
      </c>
      <c r="I403" s="9">
        <f t="shared" si="32"/>
        <v>45694</v>
      </c>
    </row>
    <row r="404" spans="1:9">
      <c r="A404" s="12">
        <v>45979</v>
      </c>
      <c r="B404" s="10" t="s">
        <v>135</v>
      </c>
      <c r="C404" s="27">
        <v>9815</v>
      </c>
      <c r="D404" s="11">
        <v>69</v>
      </c>
      <c r="E404" s="7">
        <f t="shared" si="30"/>
        <v>142.24637681159419</v>
      </c>
      <c r="F404" s="10">
        <v>1072</v>
      </c>
      <c r="G404" s="10" t="s">
        <v>47</v>
      </c>
      <c r="H404" s="8">
        <f t="shared" si="32"/>
        <v>3495599</v>
      </c>
      <c r="I404" s="9">
        <f t="shared" si="32"/>
        <v>45763</v>
      </c>
    </row>
    <row r="405" spans="1:9">
      <c r="A405" s="12">
        <v>45979</v>
      </c>
      <c r="B405" s="10" t="s">
        <v>135</v>
      </c>
      <c r="C405" s="27">
        <v>9825</v>
      </c>
      <c r="D405" s="11">
        <v>68</v>
      </c>
      <c r="E405" s="7">
        <f t="shared" si="30"/>
        <v>144.48529411764707</v>
      </c>
      <c r="F405" s="10">
        <v>1123</v>
      </c>
      <c r="G405" s="10" t="s">
        <v>12</v>
      </c>
      <c r="H405" s="8">
        <f t="shared" si="32"/>
        <v>3505424</v>
      </c>
      <c r="I405" s="9">
        <f t="shared" si="32"/>
        <v>45831</v>
      </c>
    </row>
    <row r="406" spans="1:9">
      <c r="A406" s="12">
        <v>45980</v>
      </c>
      <c r="B406" s="10" t="s">
        <v>135</v>
      </c>
      <c r="C406" s="27">
        <v>28837</v>
      </c>
      <c r="D406" s="11">
        <v>222</v>
      </c>
      <c r="E406" s="7">
        <f t="shared" si="30"/>
        <v>129.8963963963964</v>
      </c>
      <c r="F406" s="10">
        <v>1072</v>
      </c>
      <c r="G406" s="10" t="s">
        <v>47</v>
      </c>
      <c r="H406" s="8">
        <f t="shared" si="32"/>
        <v>3534261</v>
      </c>
      <c r="I406" s="9">
        <f t="shared" si="32"/>
        <v>46053</v>
      </c>
    </row>
    <row r="407" spans="1:9">
      <c r="A407" s="12">
        <v>45980</v>
      </c>
      <c r="B407" s="10" t="s">
        <v>135</v>
      </c>
      <c r="C407" s="27">
        <v>16691</v>
      </c>
      <c r="D407" s="11">
        <v>120</v>
      </c>
      <c r="E407" s="7">
        <f t="shared" si="30"/>
        <v>139.09166666666667</v>
      </c>
      <c r="F407" s="10">
        <v>1123</v>
      </c>
      <c r="G407" s="10" t="s">
        <v>12</v>
      </c>
      <c r="H407" s="8">
        <f t="shared" si="32"/>
        <v>3550952</v>
      </c>
      <c r="I407" s="9">
        <f t="shared" si="32"/>
        <v>46173</v>
      </c>
    </row>
    <row r="408" spans="1:9">
      <c r="A408" s="12">
        <v>45981</v>
      </c>
      <c r="B408" s="10" t="s">
        <v>135</v>
      </c>
      <c r="C408" s="27">
        <v>17468</v>
      </c>
      <c r="D408" s="11">
        <v>186</v>
      </c>
      <c r="E408" s="7">
        <f t="shared" si="30"/>
        <v>93.913978494623649</v>
      </c>
      <c r="F408" s="10">
        <v>1072</v>
      </c>
      <c r="G408" s="10" t="s">
        <v>47</v>
      </c>
      <c r="H408" s="8">
        <f t="shared" si="32"/>
        <v>3568420</v>
      </c>
      <c r="I408" s="9">
        <f t="shared" si="32"/>
        <v>46359</v>
      </c>
    </row>
    <row r="409" spans="1:9">
      <c r="A409" s="12">
        <v>45981</v>
      </c>
      <c r="B409" s="10" t="s">
        <v>135</v>
      </c>
      <c r="C409" s="27">
        <v>14432</v>
      </c>
      <c r="D409" s="11">
        <v>171</v>
      </c>
      <c r="E409" s="7">
        <f t="shared" si="30"/>
        <v>84.397660818713447</v>
      </c>
      <c r="F409" s="10">
        <v>1123</v>
      </c>
      <c r="G409" s="10" t="s">
        <v>12</v>
      </c>
      <c r="H409" s="8">
        <f t="shared" si="32"/>
        <v>3582852</v>
      </c>
      <c r="I409" s="9">
        <f t="shared" si="32"/>
        <v>46530</v>
      </c>
    </row>
    <row r="410" spans="1:9">
      <c r="A410" s="12">
        <v>45985</v>
      </c>
      <c r="B410" s="10" t="s">
        <v>136</v>
      </c>
      <c r="C410" s="27">
        <v>20400</v>
      </c>
      <c r="D410" s="11">
        <v>152</v>
      </c>
      <c r="E410" s="7">
        <f t="shared" si="30"/>
        <v>134.21052631578948</v>
      </c>
      <c r="F410" s="10">
        <v>1123</v>
      </c>
      <c r="G410" s="10" t="s">
        <v>12</v>
      </c>
      <c r="H410" s="8">
        <f t="shared" si="32"/>
        <v>3603252</v>
      </c>
      <c r="I410" s="9">
        <f t="shared" si="32"/>
        <v>46682</v>
      </c>
    </row>
    <row r="411" spans="1:9">
      <c r="A411" s="12">
        <v>45985</v>
      </c>
      <c r="B411" s="10" t="s">
        <v>136</v>
      </c>
      <c r="C411" s="27">
        <v>17309</v>
      </c>
      <c r="D411" s="11">
        <v>159</v>
      </c>
      <c r="E411" s="7">
        <f t="shared" si="30"/>
        <v>108.86163522012579</v>
      </c>
      <c r="F411" s="10">
        <v>1072</v>
      </c>
      <c r="G411" s="10" t="s">
        <v>47</v>
      </c>
      <c r="H411" s="8">
        <f t="shared" si="32"/>
        <v>3620561</v>
      </c>
      <c r="I411" s="9">
        <f t="shared" si="32"/>
        <v>46841</v>
      </c>
    </row>
    <row r="412" spans="1:9">
      <c r="A412" s="12">
        <v>45986</v>
      </c>
      <c r="B412" s="10" t="s">
        <v>136</v>
      </c>
      <c r="C412" s="27">
        <v>15033</v>
      </c>
      <c r="D412" s="11">
        <v>139</v>
      </c>
      <c r="E412" s="7">
        <f t="shared" si="30"/>
        <v>108.15107913669065</v>
      </c>
      <c r="F412" s="10">
        <v>1123</v>
      </c>
      <c r="G412" s="10" t="s">
        <v>12</v>
      </c>
      <c r="H412" s="8">
        <f t="shared" si="32"/>
        <v>3635594</v>
      </c>
      <c r="I412" s="9">
        <f t="shared" si="32"/>
        <v>46980</v>
      </c>
    </row>
    <row r="413" spans="1:9">
      <c r="A413" s="12">
        <v>45986</v>
      </c>
      <c r="B413" s="10" t="s">
        <v>136</v>
      </c>
      <c r="C413" s="27">
        <v>10023</v>
      </c>
      <c r="D413" s="11">
        <v>63</v>
      </c>
      <c r="E413" s="7">
        <f t="shared" si="30"/>
        <v>159.0952380952381</v>
      </c>
      <c r="F413" s="10">
        <v>1072</v>
      </c>
      <c r="G413" s="10" t="s">
        <v>47</v>
      </c>
      <c r="H413" s="8">
        <f t="shared" si="32"/>
        <v>3645617</v>
      </c>
      <c r="I413" s="9">
        <f t="shared" si="32"/>
        <v>47043</v>
      </c>
    </row>
    <row r="414" spans="1:9">
      <c r="A414" s="12">
        <v>45987</v>
      </c>
      <c r="B414" s="10" t="s">
        <v>137</v>
      </c>
      <c r="C414" s="27">
        <v>9120</v>
      </c>
      <c r="D414" s="11">
        <v>72</v>
      </c>
      <c r="E414" s="7">
        <f t="shared" si="30"/>
        <v>126.66666666666667</v>
      </c>
      <c r="F414" s="10">
        <v>1123</v>
      </c>
      <c r="G414" s="10" t="s">
        <v>12</v>
      </c>
      <c r="H414" s="8">
        <f t="shared" si="32"/>
        <v>3654737</v>
      </c>
      <c r="I414" s="9">
        <f t="shared" si="32"/>
        <v>47115</v>
      </c>
    </row>
    <row r="415" spans="1:9">
      <c r="A415" s="12">
        <v>45987</v>
      </c>
      <c r="B415" s="10" t="s">
        <v>137</v>
      </c>
      <c r="C415" s="27">
        <v>18607</v>
      </c>
      <c r="D415" s="11">
        <v>122</v>
      </c>
      <c r="E415" s="7">
        <f t="shared" si="30"/>
        <v>152.51639344262296</v>
      </c>
      <c r="F415" s="10">
        <v>1072</v>
      </c>
      <c r="G415" s="10" t="s">
        <v>47</v>
      </c>
      <c r="H415" s="8">
        <f t="shared" si="32"/>
        <v>3673344</v>
      </c>
      <c r="I415" s="9">
        <f t="shared" si="32"/>
        <v>47237</v>
      </c>
    </row>
    <row r="416" spans="1:9">
      <c r="A416" s="12">
        <v>45988</v>
      </c>
      <c r="B416" s="10" t="s">
        <v>137</v>
      </c>
      <c r="C416" s="27">
        <v>4297</v>
      </c>
      <c r="D416" s="11">
        <v>63</v>
      </c>
      <c r="E416" s="7">
        <f t="shared" si="30"/>
        <v>68.206349206349202</v>
      </c>
      <c r="F416" s="10">
        <v>1072</v>
      </c>
      <c r="G416" s="10" t="s">
        <v>47</v>
      </c>
      <c r="H416" s="8">
        <f t="shared" si="32"/>
        <v>3677641</v>
      </c>
      <c r="I416" s="9">
        <f t="shared" si="32"/>
        <v>47300</v>
      </c>
    </row>
    <row r="417" spans="1:9">
      <c r="A417" s="12">
        <v>45988</v>
      </c>
      <c r="B417" s="10" t="s">
        <v>137</v>
      </c>
      <c r="C417" s="27">
        <v>4976</v>
      </c>
      <c r="D417" s="11">
        <v>45</v>
      </c>
      <c r="E417" s="7">
        <f t="shared" si="30"/>
        <v>110.57777777777778</v>
      </c>
      <c r="F417" s="10">
        <v>1123</v>
      </c>
      <c r="G417" s="10" t="s">
        <v>12</v>
      </c>
      <c r="H417" s="8">
        <f t="shared" si="32"/>
        <v>3682617</v>
      </c>
      <c r="I417" s="9">
        <f t="shared" si="32"/>
        <v>47345</v>
      </c>
    </row>
    <row r="418" spans="1:9">
      <c r="A418" s="12">
        <v>45988</v>
      </c>
      <c r="B418" s="10" t="s">
        <v>138</v>
      </c>
      <c r="C418" s="27">
        <v>10001</v>
      </c>
      <c r="D418" s="11">
        <v>100</v>
      </c>
      <c r="E418" s="7">
        <f t="shared" si="30"/>
        <v>100.01</v>
      </c>
      <c r="F418" s="10">
        <v>1123</v>
      </c>
      <c r="G418" s="10" t="s">
        <v>47</v>
      </c>
      <c r="H418" s="8">
        <f t="shared" si="32"/>
        <v>3692618</v>
      </c>
      <c r="I418" s="9">
        <f t="shared" si="32"/>
        <v>47445</v>
      </c>
    </row>
    <row r="419" spans="1:9">
      <c r="A419" s="12">
        <v>45988</v>
      </c>
      <c r="B419" s="10" t="s">
        <v>138</v>
      </c>
      <c r="C419" s="27">
        <v>16776</v>
      </c>
      <c r="D419" s="11">
        <v>145</v>
      </c>
      <c r="E419" s="7">
        <f t="shared" si="30"/>
        <v>115.69655172413793</v>
      </c>
      <c r="F419" s="10">
        <v>1072</v>
      </c>
      <c r="G419" s="10" t="s">
        <v>12</v>
      </c>
      <c r="H419" s="8">
        <f t="shared" ref="H419:I434" si="33">H418+C419</f>
        <v>3709394</v>
      </c>
      <c r="I419" s="9">
        <f t="shared" si="33"/>
        <v>47590</v>
      </c>
    </row>
    <row r="420" spans="1:9">
      <c r="A420" s="12">
        <v>45992</v>
      </c>
      <c r="B420" s="10" t="s">
        <v>139</v>
      </c>
      <c r="C420" s="27">
        <v>12935</v>
      </c>
      <c r="D420" s="11">
        <v>93</v>
      </c>
      <c r="E420" s="7">
        <f t="shared" si="30"/>
        <v>139.08602150537635</v>
      </c>
      <c r="F420" s="10">
        <v>1123</v>
      </c>
      <c r="G420" s="10" t="s">
        <v>12</v>
      </c>
      <c r="H420" s="8">
        <f t="shared" si="33"/>
        <v>3722329</v>
      </c>
      <c r="I420" s="9">
        <f t="shared" si="33"/>
        <v>47683</v>
      </c>
    </row>
    <row r="421" spans="1:9">
      <c r="A421" s="12">
        <v>45992</v>
      </c>
      <c r="B421" s="10" t="s">
        <v>139</v>
      </c>
      <c r="C421" s="27">
        <v>19336</v>
      </c>
      <c r="D421" s="11">
        <v>139</v>
      </c>
      <c r="E421" s="7">
        <f t="shared" si="30"/>
        <v>139.10791366906474</v>
      </c>
      <c r="F421" s="10">
        <v>1072</v>
      </c>
      <c r="G421" s="10" t="s">
        <v>47</v>
      </c>
      <c r="H421" s="8">
        <f t="shared" si="33"/>
        <v>3741665</v>
      </c>
      <c r="I421" s="9">
        <f t="shared" si="33"/>
        <v>47822</v>
      </c>
    </row>
    <row r="422" spans="1:9">
      <c r="A422" s="12">
        <v>45993</v>
      </c>
      <c r="B422" s="10" t="s">
        <v>139</v>
      </c>
      <c r="C422" s="27">
        <v>207</v>
      </c>
      <c r="D422" s="11">
        <v>13</v>
      </c>
      <c r="E422" s="7">
        <f t="shared" si="30"/>
        <v>15.923076923076923</v>
      </c>
      <c r="F422" s="10">
        <v>1123</v>
      </c>
      <c r="G422" s="10" t="s">
        <v>12</v>
      </c>
      <c r="H422" s="8">
        <f t="shared" si="33"/>
        <v>3741872</v>
      </c>
      <c r="I422" s="9">
        <f t="shared" si="33"/>
        <v>47835</v>
      </c>
    </row>
    <row r="423" spans="1:9">
      <c r="A423" s="12">
        <v>45995</v>
      </c>
      <c r="B423" s="10" t="s">
        <v>140</v>
      </c>
      <c r="C423" s="27">
        <v>6932</v>
      </c>
      <c r="D423" s="11">
        <v>54</v>
      </c>
      <c r="E423" s="7">
        <f t="shared" si="30"/>
        <v>128.37037037037038</v>
      </c>
      <c r="F423" s="10">
        <v>1072</v>
      </c>
      <c r="G423" s="10" t="s">
        <v>47</v>
      </c>
      <c r="H423" s="8">
        <f t="shared" si="33"/>
        <v>3748804</v>
      </c>
      <c r="I423" s="9">
        <f t="shared" si="33"/>
        <v>47889</v>
      </c>
    </row>
    <row r="424" spans="1:9">
      <c r="A424" s="12">
        <v>45995</v>
      </c>
      <c r="B424" s="10" t="s">
        <v>140</v>
      </c>
      <c r="C424" s="27">
        <v>11329</v>
      </c>
      <c r="D424" s="11">
        <v>99</v>
      </c>
      <c r="E424" s="7">
        <f t="shared" si="30"/>
        <v>114.43434343434343</v>
      </c>
      <c r="F424" s="10">
        <v>1123</v>
      </c>
      <c r="G424" s="10" t="s">
        <v>12</v>
      </c>
      <c r="H424" s="8">
        <f t="shared" si="33"/>
        <v>3760133</v>
      </c>
      <c r="I424" s="9">
        <f t="shared" si="33"/>
        <v>47988</v>
      </c>
    </row>
    <row r="425" spans="1:9">
      <c r="A425" s="12">
        <v>45996</v>
      </c>
      <c r="B425" s="10" t="s">
        <v>140</v>
      </c>
      <c r="C425" s="27">
        <v>5288</v>
      </c>
      <c r="D425" s="11">
        <v>41</v>
      </c>
      <c r="E425" s="7">
        <f t="shared" si="30"/>
        <v>128.97560975609755</v>
      </c>
      <c r="F425" s="10">
        <v>1072</v>
      </c>
      <c r="G425" s="10" t="s">
        <v>47</v>
      </c>
      <c r="H425" s="8">
        <f t="shared" si="33"/>
        <v>3765421</v>
      </c>
      <c r="I425" s="9">
        <f t="shared" si="33"/>
        <v>48029</v>
      </c>
    </row>
    <row r="426" spans="1:9">
      <c r="A426" s="12">
        <v>45996</v>
      </c>
      <c r="B426" s="10" t="s">
        <v>140</v>
      </c>
      <c r="C426" s="27">
        <v>5978</v>
      </c>
      <c r="D426" s="11">
        <v>54</v>
      </c>
      <c r="E426" s="7">
        <f t="shared" si="30"/>
        <v>110.70370370370371</v>
      </c>
      <c r="F426" s="10">
        <v>1123</v>
      </c>
      <c r="G426" s="10" t="s">
        <v>12</v>
      </c>
      <c r="H426" s="8">
        <f t="shared" si="33"/>
        <v>3771399</v>
      </c>
      <c r="I426" s="9">
        <f t="shared" si="33"/>
        <v>48083</v>
      </c>
    </row>
    <row r="427" spans="1:9">
      <c r="A427" s="12">
        <v>46000</v>
      </c>
      <c r="B427" s="10" t="s">
        <v>141</v>
      </c>
      <c r="C427" s="27">
        <v>4310</v>
      </c>
      <c r="D427" s="11">
        <v>30</v>
      </c>
      <c r="E427" s="7">
        <f t="shared" si="30"/>
        <v>143.66666666666666</v>
      </c>
      <c r="F427" s="10">
        <v>1072</v>
      </c>
      <c r="G427" s="10" t="s">
        <v>47</v>
      </c>
      <c r="H427" s="8">
        <f t="shared" si="33"/>
        <v>3775709</v>
      </c>
      <c r="I427" s="9">
        <f t="shared" si="33"/>
        <v>48113</v>
      </c>
    </row>
    <row r="428" spans="1:9">
      <c r="A428" s="12">
        <v>46001</v>
      </c>
      <c r="B428" s="10" t="s">
        <v>142</v>
      </c>
      <c r="C428" s="27">
        <v>3139</v>
      </c>
      <c r="D428" s="11">
        <v>100</v>
      </c>
      <c r="E428" s="7">
        <f t="shared" si="30"/>
        <v>31.39</v>
      </c>
      <c r="F428" s="10">
        <v>1123</v>
      </c>
      <c r="G428" s="10" t="s">
        <v>12</v>
      </c>
      <c r="H428" s="8">
        <f t="shared" si="33"/>
        <v>3778848</v>
      </c>
      <c r="I428" s="9">
        <f t="shared" si="33"/>
        <v>48213</v>
      </c>
    </row>
    <row r="429" spans="1:9">
      <c r="A429" s="12">
        <v>46001</v>
      </c>
      <c r="B429" s="10" t="s">
        <v>142</v>
      </c>
      <c r="C429" s="27">
        <v>7562</v>
      </c>
      <c r="D429" s="11">
        <v>99</v>
      </c>
      <c r="E429" s="7">
        <f t="shared" si="30"/>
        <v>76.383838383838381</v>
      </c>
      <c r="F429" s="10">
        <v>1072</v>
      </c>
      <c r="G429" s="10" t="s">
        <v>47</v>
      </c>
      <c r="H429" s="8">
        <f t="shared" si="33"/>
        <v>3786410</v>
      </c>
      <c r="I429" s="9">
        <f t="shared" si="33"/>
        <v>48312</v>
      </c>
    </row>
    <row r="430" spans="1:9">
      <c r="A430" s="12">
        <v>46001</v>
      </c>
      <c r="B430" s="10" t="s">
        <v>141</v>
      </c>
      <c r="C430" s="27">
        <v>14669</v>
      </c>
      <c r="D430" s="11">
        <v>125</v>
      </c>
      <c r="E430" s="7">
        <f t="shared" si="30"/>
        <v>117.352</v>
      </c>
      <c r="F430" s="10">
        <v>1123</v>
      </c>
      <c r="G430" s="10" t="s">
        <v>12</v>
      </c>
      <c r="H430" s="8">
        <f t="shared" si="33"/>
        <v>3801079</v>
      </c>
      <c r="I430" s="9">
        <f t="shared" si="33"/>
        <v>48437</v>
      </c>
    </row>
    <row r="431" spans="1:9">
      <c r="A431" s="12">
        <v>46001</v>
      </c>
      <c r="B431" s="10" t="s">
        <v>141</v>
      </c>
      <c r="C431" s="27">
        <v>7118</v>
      </c>
      <c r="D431" s="11">
        <v>91</v>
      </c>
      <c r="E431" s="7">
        <f t="shared" si="30"/>
        <v>78.219780219780219</v>
      </c>
      <c r="F431" s="10">
        <v>1072</v>
      </c>
      <c r="G431" s="10" t="s">
        <v>47</v>
      </c>
      <c r="H431" s="8">
        <f t="shared" si="33"/>
        <v>3808197</v>
      </c>
      <c r="I431" s="9">
        <f t="shared" si="33"/>
        <v>48528</v>
      </c>
    </row>
    <row r="432" spans="1:9">
      <c r="A432" s="12">
        <v>46002</v>
      </c>
      <c r="B432" s="10" t="s">
        <v>143</v>
      </c>
      <c r="C432" s="27">
        <v>17687</v>
      </c>
      <c r="D432" s="11">
        <v>111</v>
      </c>
      <c r="E432" s="7">
        <f t="shared" si="30"/>
        <v>159.34234234234233</v>
      </c>
      <c r="F432" s="10">
        <v>1123</v>
      </c>
      <c r="G432" s="10" t="s">
        <v>12</v>
      </c>
      <c r="H432" s="8">
        <f t="shared" si="33"/>
        <v>3825884</v>
      </c>
      <c r="I432" s="9">
        <f t="shared" si="33"/>
        <v>48639</v>
      </c>
    </row>
    <row r="433" spans="1:9">
      <c r="A433" s="12">
        <v>46002</v>
      </c>
      <c r="B433" s="10" t="s">
        <v>143</v>
      </c>
      <c r="C433" s="27">
        <v>21019</v>
      </c>
      <c r="D433" s="11">
        <v>140</v>
      </c>
      <c r="E433" s="7">
        <f t="shared" si="30"/>
        <v>150.13571428571427</v>
      </c>
      <c r="F433" s="10">
        <v>1072</v>
      </c>
      <c r="G433" s="10" t="s">
        <v>47</v>
      </c>
      <c r="H433" s="8">
        <f t="shared" si="33"/>
        <v>3846903</v>
      </c>
      <c r="I433" s="9">
        <f t="shared" si="33"/>
        <v>48779</v>
      </c>
    </row>
    <row r="434" spans="1:9">
      <c r="A434" s="12">
        <v>46003</v>
      </c>
      <c r="B434" s="10" t="s">
        <v>144</v>
      </c>
      <c r="C434" s="27">
        <v>6779</v>
      </c>
      <c r="D434" s="11">
        <v>57</v>
      </c>
      <c r="E434" s="7">
        <f t="shared" si="30"/>
        <v>118.92982456140351</v>
      </c>
      <c r="F434" s="10">
        <v>1123</v>
      </c>
      <c r="G434" s="10" t="s">
        <v>12</v>
      </c>
      <c r="H434" s="8">
        <f t="shared" si="33"/>
        <v>3853682</v>
      </c>
      <c r="I434" s="9">
        <f t="shared" si="33"/>
        <v>48836</v>
      </c>
    </row>
    <row r="435" spans="1:9">
      <c r="A435" s="12">
        <v>46003</v>
      </c>
      <c r="B435" s="10" t="s">
        <v>144</v>
      </c>
      <c r="C435" s="27">
        <v>2610</v>
      </c>
      <c r="D435" s="11">
        <v>69</v>
      </c>
      <c r="E435" s="7">
        <f t="shared" si="30"/>
        <v>37.826086956521742</v>
      </c>
      <c r="F435" s="10">
        <v>1072</v>
      </c>
      <c r="G435" s="10" t="s">
        <v>47</v>
      </c>
      <c r="H435" s="8">
        <f t="shared" ref="H435:I450" si="34">H434+C435</f>
        <v>3856292</v>
      </c>
      <c r="I435" s="9">
        <f t="shared" si="34"/>
        <v>48905</v>
      </c>
    </row>
    <row r="436" spans="1:9">
      <c r="A436" s="12">
        <v>46007</v>
      </c>
      <c r="B436" s="10" t="s">
        <v>145</v>
      </c>
      <c r="C436" s="27">
        <v>3465</v>
      </c>
      <c r="D436" s="11">
        <v>24</v>
      </c>
      <c r="E436" s="7">
        <f t="shared" si="30"/>
        <v>144.375</v>
      </c>
      <c r="F436" s="10">
        <v>1072</v>
      </c>
      <c r="G436" s="10" t="s">
        <v>47</v>
      </c>
      <c r="H436" s="8">
        <f t="shared" si="34"/>
        <v>3859757</v>
      </c>
      <c r="I436" s="9">
        <f t="shared" si="34"/>
        <v>48929</v>
      </c>
    </row>
    <row r="437" spans="1:9">
      <c r="A437" s="12">
        <v>46007</v>
      </c>
      <c r="B437" s="10" t="s">
        <v>145</v>
      </c>
      <c r="C437" s="27">
        <v>10200</v>
      </c>
      <c r="D437" s="11">
        <v>71</v>
      </c>
      <c r="E437" s="7">
        <f t="shared" si="30"/>
        <v>143.66197183098592</v>
      </c>
      <c r="F437" s="10">
        <v>1123</v>
      </c>
      <c r="G437" s="10" t="s">
        <v>12</v>
      </c>
      <c r="H437" s="8">
        <f t="shared" si="34"/>
        <v>3869957</v>
      </c>
      <c r="I437" s="9">
        <f t="shared" si="34"/>
        <v>49000</v>
      </c>
    </row>
    <row r="438" spans="1:9">
      <c r="A438" s="12">
        <v>46008</v>
      </c>
      <c r="B438" s="10" t="s">
        <v>145</v>
      </c>
      <c r="C438" s="27">
        <v>10341</v>
      </c>
      <c r="D438" s="11">
        <v>94</v>
      </c>
      <c r="E438" s="7">
        <f t="shared" si="30"/>
        <v>110.01063829787235</v>
      </c>
      <c r="F438" s="10">
        <v>1123</v>
      </c>
      <c r="G438" s="10" t="s">
        <v>12</v>
      </c>
      <c r="H438" s="8">
        <f t="shared" si="34"/>
        <v>3880298</v>
      </c>
      <c r="I438" s="9">
        <f t="shared" si="34"/>
        <v>49094</v>
      </c>
    </row>
    <row r="439" spans="1:9">
      <c r="A439" s="12">
        <v>46008</v>
      </c>
      <c r="B439" s="10" t="s">
        <v>145</v>
      </c>
      <c r="C439" s="27">
        <v>11628</v>
      </c>
      <c r="D439" s="11">
        <v>77</v>
      </c>
      <c r="E439" s="7">
        <f t="shared" si="30"/>
        <v>151.01298701298703</v>
      </c>
      <c r="F439" s="10">
        <v>1072</v>
      </c>
      <c r="G439" s="10" t="s">
        <v>146</v>
      </c>
      <c r="H439" s="8">
        <f t="shared" si="34"/>
        <v>3891926</v>
      </c>
      <c r="I439" s="9">
        <f t="shared" si="34"/>
        <v>49171</v>
      </c>
    </row>
    <row r="440" spans="1:9">
      <c r="A440" s="12">
        <v>46009</v>
      </c>
      <c r="B440" s="10" t="s">
        <v>145</v>
      </c>
      <c r="C440" s="27">
        <v>13726</v>
      </c>
      <c r="D440" s="11">
        <v>94</v>
      </c>
      <c r="E440" s="7">
        <f t="shared" si="30"/>
        <v>146.02127659574469</v>
      </c>
      <c r="F440" s="10">
        <v>1123</v>
      </c>
      <c r="G440" s="10" t="s">
        <v>12</v>
      </c>
      <c r="H440" s="8">
        <f t="shared" si="34"/>
        <v>3905652</v>
      </c>
      <c r="I440" s="9">
        <f t="shared" si="34"/>
        <v>49265</v>
      </c>
    </row>
    <row r="441" spans="1:9">
      <c r="A441" s="12">
        <v>46009</v>
      </c>
      <c r="B441" s="10" t="s">
        <v>145</v>
      </c>
      <c r="C441" s="27">
        <v>11283</v>
      </c>
      <c r="D441" s="11">
        <v>70</v>
      </c>
      <c r="E441" s="7">
        <f t="shared" si="30"/>
        <v>161.18571428571428</v>
      </c>
      <c r="F441" s="10">
        <v>1072</v>
      </c>
      <c r="G441" s="10" t="s">
        <v>146</v>
      </c>
      <c r="H441" s="8">
        <f t="shared" si="34"/>
        <v>3916935</v>
      </c>
      <c r="I441" s="9">
        <f t="shared" si="34"/>
        <v>49335</v>
      </c>
    </row>
    <row r="442" spans="1:9">
      <c r="A442" s="12">
        <v>46009</v>
      </c>
      <c r="B442" s="10" t="s">
        <v>147</v>
      </c>
      <c r="C442" s="27">
        <v>1800</v>
      </c>
      <c r="D442" s="11">
        <v>15</v>
      </c>
      <c r="E442" s="7">
        <f t="shared" si="30"/>
        <v>120</v>
      </c>
      <c r="F442" s="10">
        <v>1123</v>
      </c>
      <c r="G442" s="10" t="s">
        <v>12</v>
      </c>
      <c r="H442" s="8">
        <f t="shared" si="34"/>
        <v>3918735</v>
      </c>
      <c r="I442" s="9">
        <f t="shared" si="34"/>
        <v>49350</v>
      </c>
    </row>
    <row r="443" spans="1:9">
      <c r="A443" s="12">
        <v>46009</v>
      </c>
      <c r="B443" s="10" t="s">
        <v>147</v>
      </c>
      <c r="C443" s="27">
        <v>10132</v>
      </c>
      <c r="D443" s="11">
        <v>83</v>
      </c>
      <c r="E443" s="7">
        <f t="shared" si="30"/>
        <v>122.07228915662651</v>
      </c>
      <c r="F443" s="10">
        <v>1072</v>
      </c>
      <c r="G443" s="10" t="s">
        <v>146</v>
      </c>
      <c r="H443" s="8">
        <f t="shared" si="34"/>
        <v>3928867</v>
      </c>
      <c r="I443" s="9">
        <f t="shared" si="34"/>
        <v>49433</v>
      </c>
    </row>
    <row r="444" spans="1:9">
      <c r="A444" s="12">
        <v>46010</v>
      </c>
      <c r="B444" s="10" t="s">
        <v>147</v>
      </c>
      <c r="C444" s="27">
        <v>2757</v>
      </c>
      <c r="D444" s="11">
        <v>15</v>
      </c>
      <c r="E444" s="7">
        <f t="shared" si="30"/>
        <v>183.8</v>
      </c>
      <c r="F444" s="10">
        <v>1123</v>
      </c>
      <c r="G444" s="10" t="s">
        <v>12</v>
      </c>
      <c r="H444" s="8">
        <f t="shared" si="34"/>
        <v>3931624</v>
      </c>
      <c r="I444" s="9">
        <f t="shared" si="34"/>
        <v>49448</v>
      </c>
    </row>
    <row r="445" spans="1:9">
      <c r="A445" s="12">
        <v>46010</v>
      </c>
      <c r="B445" s="10" t="s">
        <v>147</v>
      </c>
      <c r="C445" s="27">
        <v>1010</v>
      </c>
      <c r="D445" s="11">
        <v>6</v>
      </c>
      <c r="E445" s="7">
        <f t="shared" si="30"/>
        <v>168.33333333333334</v>
      </c>
      <c r="F445" s="10">
        <v>1072</v>
      </c>
      <c r="G445" s="10" t="s">
        <v>146</v>
      </c>
      <c r="H445" s="8">
        <f t="shared" si="34"/>
        <v>3932634</v>
      </c>
      <c r="I445" s="9">
        <f t="shared" si="34"/>
        <v>49454</v>
      </c>
    </row>
    <row r="446" spans="1:9">
      <c r="A446" s="12">
        <v>46011</v>
      </c>
      <c r="B446" s="10" t="s">
        <v>148</v>
      </c>
      <c r="C446" s="27">
        <v>7731</v>
      </c>
      <c r="D446" s="11">
        <v>74</v>
      </c>
      <c r="E446" s="7">
        <f t="shared" si="30"/>
        <v>104.47297297297297</v>
      </c>
      <c r="F446" s="10">
        <v>1123</v>
      </c>
      <c r="G446" s="10" t="s">
        <v>146</v>
      </c>
      <c r="H446" s="8">
        <f t="shared" si="34"/>
        <v>3940365</v>
      </c>
      <c r="I446" s="9">
        <f t="shared" si="34"/>
        <v>49528</v>
      </c>
    </row>
    <row r="447" spans="1:9">
      <c r="A447" s="12">
        <v>46013</v>
      </c>
      <c r="B447" s="10" t="s">
        <v>148</v>
      </c>
      <c r="C447" s="27">
        <v>6444</v>
      </c>
      <c r="D447" s="11">
        <v>54</v>
      </c>
      <c r="E447" s="7">
        <f t="shared" si="30"/>
        <v>119.33333333333333</v>
      </c>
      <c r="F447" s="10">
        <v>1072</v>
      </c>
      <c r="G447" s="10" t="s">
        <v>47</v>
      </c>
      <c r="H447" s="8">
        <f t="shared" si="34"/>
        <v>3946809</v>
      </c>
      <c r="I447" s="9">
        <f t="shared" si="34"/>
        <v>49582</v>
      </c>
    </row>
    <row r="448" spans="1:9">
      <c r="A448" s="12">
        <v>46013</v>
      </c>
      <c r="B448" s="10" t="s">
        <v>148</v>
      </c>
      <c r="C448" s="27">
        <v>8325</v>
      </c>
      <c r="D448" s="11">
        <v>91</v>
      </c>
      <c r="E448" s="7">
        <f t="shared" si="30"/>
        <v>91.483516483516482</v>
      </c>
      <c r="F448" s="10">
        <v>1123</v>
      </c>
      <c r="G448" s="10" t="s">
        <v>146</v>
      </c>
      <c r="H448" s="8">
        <f t="shared" si="34"/>
        <v>3955134</v>
      </c>
      <c r="I448" s="9">
        <f t="shared" si="34"/>
        <v>49673</v>
      </c>
    </row>
    <row r="449" spans="1:9">
      <c r="A449" s="12">
        <v>46013</v>
      </c>
      <c r="B449" s="10" t="s">
        <v>149</v>
      </c>
      <c r="C449" s="27">
        <v>2560</v>
      </c>
      <c r="D449" s="11">
        <v>18</v>
      </c>
      <c r="E449" s="7">
        <f t="shared" si="30"/>
        <v>142.22222222222223</v>
      </c>
      <c r="F449" s="10">
        <v>1072</v>
      </c>
      <c r="G449" s="10" t="s">
        <v>47</v>
      </c>
      <c r="H449" s="8">
        <f t="shared" si="34"/>
        <v>3957694</v>
      </c>
      <c r="I449" s="9">
        <f t="shared" si="34"/>
        <v>49691</v>
      </c>
    </row>
    <row r="450" spans="1:9">
      <c r="A450" s="12">
        <v>46013</v>
      </c>
      <c r="B450" s="10" t="s">
        <v>149</v>
      </c>
      <c r="C450" s="27">
        <v>10752</v>
      </c>
      <c r="D450" s="11">
        <v>69</v>
      </c>
      <c r="E450" s="7">
        <f t="shared" ref="E450:E487" si="35">IF(D450&gt;0,(C450/D450),"*")</f>
        <v>155.82608695652175</v>
      </c>
      <c r="F450" s="10">
        <v>1123</v>
      </c>
      <c r="G450" s="10" t="s">
        <v>146</v>
      </c>
      <c r="H450" s="8">
        <f t="shared" si="34"/>
        <v>3968446</v>
      </c>
      <c r="I450" s="9">
        <f t="shared" si="34"/>
        <v>49760</v>
      </c>
    </row>
    <row r="451" spans="1:9">
      <c r="A451" s="12">
        <v>46014</v>
      </c>
      <c r="B451" s="10" t="s">
        <v>149</v>
      </c>
      <c r="C451" s="27">
        <v>10000</v>
      </c>
      <c r="D451" s="11">
        <v>69</v>
      </c>
      <c r="E451" s="7">
        <f t="shared" si="35"/>
        <v>144.92753623188406</v>
      </c>
      <c r="F451" s="10">
        <v>1123</v>
      </c>
      <c r="G451" s="10" t="s">
        <v>146</v>
      </c>
      <c r="H451" s="8">
        <f t="shared" ref="H451:I466" si="36">H450+C451</f>
        <v>3978446</v>
      </c>
      <c r="I451" s="9">
        <f t="shared" si="36"/>
        <v>49829</v>
      </c>
    </row>
    <row r="452" spans="1:9">
      <c r="A452" s="12">
        <v>46014</v>
      </c>
      <c r="B452" s="10" t="s">
        <v>150</v>
      </c>
      <c r="C452" s="27">
        <v>20697</v>
      </c>
      <c r="D452" s="11">
        <v>212</v>
      </c>
      <c r="E452" s="7">
        <f t="shared" si="35"/>
        <v>97.627358490566039</v>
      </c>
      <c r="F452" s="10">
        <v>1072</v>
      </c>
      <c r="G452" s="10" t="s">
        <v>47</v>
      </c>
      <c r="H452" s="8">
        <f t="shared" si="36"/>
        <v>3999143</v>
      </c>
      <c r="I452" s="9">
        <f t="shared" si="36"/>
        <v>50041</v>
      </c>
    </row>
    <row r="453" spans="1:9">
      <c r="A453" s="12">
        <v>46014</v>
      </c>
      <c r="B453" s="10" t="s">
        <v>150</v>
      </c>
      <c r="C453" s="27">
        <v>6957</v>
      </c>
      <c r="D453" s="11">
        <v>56</v>
      </c>
      <c r="E453" s="7">
        <f t="shared" si="35"/>
        <v>124.23214285714286</v>
      </c>
      <c r="F453" s="10">
        <v>1123</v>
      </c>
      <c r="G453" s="10" t="s">
        <v>146</v>
      </c>
      <c r="H453" s="8">
        <f t="shared" si="36"/>
        <v>4006100</v>
      </c>
      <c r="I453" s="9">
        <f t="shared" si="36"/>
        <v>50097</v>
      </c>
    </row>
    <row r="454" spans="1:9">
      <c r="A454" s="12">
        <v>46017</v>
      </c>
      <c r="B454" s="10" t="s">
        <v>151</v>
      </c>
      <c r="C454" s="27">
        <v>20815</v>
      </c>
      <c r="D454" s="11">
        <v>99</v>
      </c>
      <c r="E454" s="7">
        <f t="shared" si="35"/>
        <v>210.25252525252526</v>
      </c>
      <c r="F454" s="10">
        <v>1123</v>
      </c>
      <c r="G454" s="10" t="s">
        <v>146</v>
      </c>
      <c r="H454" s="8">
        <f t="shared" si="36"/>
        <v>4026915</v>
      </c>
      <c r="I454" s="9">
        <f t="shared" si="36"/>
        <v>50196</v>
      </c>
    </row>
    <row r="455" spans="1:9">
      <c r="A455" s="12">
        <v>46017</v>
      </c>
      <c r="B455" s="10" t="s">
        <v>151</v>
      </c>
      <c r="C455" s="27">
        <v>21666</v>
      </c>
      <c r="D455" s="11">
        <v>127</v>
      </c>
      <c r="E455" s="7">
        <f t="shared" si="35"/>
        <v>170.5984251968504</v>
      </c>
      <c r="F455" s="10">
        <v>1072</v>
      </c>
      <c r="G455" s="10" t="s">
        <v>47</v>
      </c>
      <c r="H455" s="8">
        <f t="shared" si="36"/>
        <v>4048581</v>
      </c>
      <c r="I455" s="9">
        <f t="shared" si="36"/>
        <v>50323</v>
      </c>
    </row>
    <row r="456" spans="1:9">
      <c r="A456" s="12">
        <v>46018</v>
      </c>
      <c r="B456" s="10" t="s">
        <v>151</v>
      </c>
      <c r="C456" s="27">
        <v>7637</v>
      </c>
      <c r="D456" s="11">
        <v>46</v>
      </c>
      <c r="E456" s="7">
        <f t="shared" si="35"/>
        <v>166.02173913043478</v>
      </c>
      <c r="F456" s="10">
        <v>1123</v>
      </c>
      <c r="G456" s="10" t="s">
        <v>146</v>
      </c>
      <c r="H456" s="8">
        <f t="shared" si="36"/>
        <v>4056218</v>
      </c>
      <c r="I456" s="9">
        <f t="shared" si="36"/>
        <v>50369</v>
      </c>
    </row>
    <row r="457" spans="1:9">
      <c r="A457" s="12">
        <v>46018</v>
      </c>
      <c r="B457" s="10" t="s">
        <v>152</v>
      </c>
      <c r="C457" s="27">
        <v>10329</v>
      </c>
      <c r="D457" s="11">
        <v>76</v>
      </c>
      <c r="E457" s="7">
        <f t="shared" si="35"/>
        <v>135.90789473684211</v>
      </c>
      <c r="F457" s="10">
        <v>1072</v>
      </c>
      <c r="G457" s="10" t="s">
        <v>47</v>
      </c>
      <c r="H457" s="8">
        <f t="shared" si="36"/>
        <v>4066547</v>
      </c>
      <c r="I457" s="9">
        <f t="shared" si="36"/>
        <v>50445</v>
      </c>
    </row>
    <row r="458" spans="1:9">
      <c r="A458" s="12">
        <v>46020</v>
      </c>
      <c r="B458" s="10" t="s">
        <v>152</v>
      </c>
      <c r="C458" s="27">
        <v>16958</v>
      </c>
      <c r="D458" s="11">
        <v>121</v>
      </c>
      <c r="E458" s="7">
        <f t="shared" si="35"/>
        <v>140.14876033057851</v>
      </c>
      <c r="F458" s="10">
        <v>1072</v>
      </c>
      <c r="G458" s="10" t="s">
        <v>47</v>
      </c>
      <c r="H458" s="8">
        <f t="shared" si="36"/>
        <v>4083505</v>
      </c>
      <c r="I458" s="9">
        <f t="shared" si="36"/>
        <v>50566</v>
      </c>
    </row>
    <row r="459" spans="1:9">
      <c r="A459" s="12">
        <v>46020</v>
      </c>
      <c r="B459" s="10" t="s">
        <v>152</v>
      </c>
      <c r="C459" s="27">
        <v>14457</v>
      </c>
      <c r="D459" s="11">
        <v>111</v>
      </c>
      <c r="E459" s="7">
        <f t="shared" si="35"/>
        <v>130.24324324324326</v>
      </c>
      <c r="F459" s="10">
        <v>1123</v>
      </c>
      <c r="G459" s="10" t="s">
        <v>146</v>
      </c>
      <c r="H459" s="8">
        <f t="shared" si="36"/>
        <v>4097962</v>
      </c>
      <c r="I459" s="9">
        <f t="shared" si="36"/>
        <v>50677</v>
      </c>
    </row>
    <row r="460" spans="1:9">
      <c r="A460" s="12">
        <v>46021</v>
      </c>
      <c r="B460" s="10" t="s">
        <v>152</v>
      </c>
      <c r="C460" s="27">
        <v>6686</v>
      </c>
      <c r="D460" s="11">
        <v>60</v>
      </c>
      <c r="E460" s="7">
        <f t="shared" si="35"/>
        <v>111.43333333333334</v>
      </c>
      <c r="F460" s="10">
        <v>1072</v>
      </c>
      <c r="G460" s="10" t="s">
        <v>47</v>
      </c>
      <c r="H460" s="8">
        <f t="shared" si="36"/>
        <v>4104648</v>
      </c>
      <c r="I460" s="9">
        <f t="shared" si="36"/>
        <v>50737</v>
      </c>
    </row>
    <row r="461" spans="1:9">
      <c r="A461" s="12">
        <v>46022</v>
      </c>
      <c r="B461" s="10" t="s">
        <v>153</v>
      </c>
      <c r="C461" s="27">
        <v>2892</v>
      </c>
      <c r="D461" s="11">
        <v>21</v>
      </c>
      <c r="E461" s="7">
        <f>IF(D461&gt;0,(C461/D461),"*")</f>
        <v>137.71428571428572</v>
      </c>
      <c r="F461" s="10">
        <v>1123</v>
      </c>
      <c r="G461" s="10" t="s">
        <v>146</v>
      </c>
      <c r="H461" s="8">
        <f t="shared" si="36"/>
        <v>4107540</v>
      </c>
      <c r="I461" s="9">
        <f>I460+D461</f>
        <v>50758</v>
      </c>
    </row>
    <row r="462" spans="1:9">
      <c r="A462" s="12">
        <v>46022</v>
      </c>
      <c r="B462" s="10" t="s">
        <v>153</v>
      </c>
      <c r="C462" s="27">
        <v>10985</v>
      </c>
      <c r="D462" s="11">
        <v>82</v>
      </c>
      <c r="E462" s="7">
        <f>IF(D462&gt;0,(C462/D462),"*")</f>
        <v>133.96341463414635</v>
      </c>
      <c r="F462" s="10">
        <v>1072</v>
      </c>
      <c r="G462" s="10" t="s">
        <v>47</v>
      </c>
      <c r="H462" s="8">
        <f t="shared" si="36"/>
        <v>4118525</v>
      </c>
      <c r="I462" s="9">
        <f>I461+D462</f>
        <v>50840</v>
      </c>
    </row>
    <row r="463" spans="1:9">
      <c r="A463" s="12">
        <v>46024</v>
      </c>
      <c r="B463" s="10" t="s">
        <v>153</v>
      </c>
      <c r="C463" s="27">
        <v>11181</v>
      </c>
      <c r="D463" s="11">
        <v>85</v>
      </c>
      <c r="E463" s="7">
        <f t="shared" si="35"/>
        <v>131.54117647058823</v>
      </c>
      <c r="F463" s="10">
        <v>1123</v>
      </c>
      <c r="G463" s="10" t="s">
        <v>146</v>
      </c>
      <c r="H463" s="8">
        <f t="shared" si="36"/>
        <v>4129706</v>
      </c>
      <c r="I463" s="9">
        <f t="shared" si="36"/>
        <v>50925</v>
      </c>
    </row>
    <row r="464" spans="1:9">
      <c r="A464" s="12">
        <v>46024</v>
      </c>
      <c r="B464" s="10" t="s">
        <v>153</v>
      </c>
      <c r="C464" s="27">
        <v>9532</v>
      </c>
      <c r="D464" s="11">
        <v>71</v>
      </c>
      <c r="E464" s="7">
        <f t="shared" si="35"/>
        <v>134.25352112676057</v>
      </c>
      <c r="F464" s="10">
        <v>1072</v>
      </c>
      <c r="G464" s="10" t="s">
        <v>47</v>
      </c>
      <c r="H464" s="8">
        <f t="shared" si="36"/>
        <v>4139238</v>
      </c>
      <c r="I464" s="9">
        <f t="shared" si="36"/>
        <v>50996</v>
      </c>
    </row>
    <row r="465" spans="1:9">
      <c r="A465" s="12">
        <v>46027</v>
      </c>
      <c r="B465" s="10" t="s">
        <v>153</v>
      </c>
      <c r="C465" s="27">
        <v>11645</v>
      </c>
      <c r="D465" s="11">
        <v>86</v>
      </c>
      <c r="E465" s="7">
        <f>IF(D465&gt;0,(C465/D465),"*")</f>
        <v>135.40697674418604</v>
      </c>
      <c r="F465" s="10">
        <v>1072</v>
      </c>
      <c r="G465" s="10" t="s">
        <v>47</v>
      </c>
      <c r="H465" s="8">
        <f t="shared" si="36"/>
        <v>4150883</v>
      </c>
      <c r="I465" s="9">
        <f>I464+D465</f>
        <v>51082</v>
      </c>
    </row>
    <row r="466" spans="1:9">
      <c r="A466" s="12">
        <v>46027</v>
      </c>
      <c r="B466" s="10" t="s">
        <v>153</v>
      </c>
      <c r="C466" s="27">
        <v>19358</v>
      </c>
      <c r="D466" s="11">
        <v>132</v>
      </c>
      <c r="E466" s="7">
        <f>IF(D466&gt;0,(C466/D466),"*")</f>
        <v>146.65151515151516</v>
      </c>
      <c r="F466" s="10">
        <v>1123</v>
      </c>
      <c r="G466" s="10" t="s">
        <v>146</v>
      </c>
      <c r="H466" s="8">
        <f t="shared" si="36"/>
        <v>4170241</v>
      </c>
      <c r="I466" s="9">
        <f>I465+D466</f>
        <v>51214</v>
      </c>
    </row>
    <row r="467" spans="1:9">
      <c r="A467" s="12">
        <v>46028</v>
      </c>
      <c r="B467" s="10" t="s">
        <v>154</v>
      </c>
      <c r="C467" s="27">
        <v>10000</v>
      </c>
      <c r="D467" s="11">
        <v>40</v>
      </c>
      <c r="E467" s="7">
        <f t="shared" si="35"/>
        <v>250</v>
      </c>
      <c r="F467" s="10">
        <v>1072</v>
      </c>
      <c r="G467" s="10" t="s">
        <v>47</v>
      </c>
      <c r="H467" s="8">
        <f t="shared" ref="H467:I482" si="37">H466+C467</f>
        <v>4180241</v>
      </c>
      <c r="I467" s="9">
        <f t="shared" si="37"/>
        <v>51254</v>
      </c>
    </row>
    <row r="468" spans="1:9">
      <c r="A468" s="12">
        <v>46028</v>
      </c>
      <c r="B468" s="10" t="s">
        <v>154</v>
      </c>
      <c r="C468" s="27">
        <v>4517</v>
      </c>
      <c r="D468" s="11">
        <v>32</v>
      </c>
      <c r="E468" s="7">
        <f t="shared" si="35"/>
        <v>141.15625</v>
      </c>
      <c r="F468" s="10">
        <v>1123</v>
      </c>
      <c r="G468" s="10" t="s">
        <v>146</v>
      </c>
      <c r="H468" s="8">
        <f t="shared" si="37"/>
        <v>4184758</v>
      </c>
      <c r="I468" s="9">
        <f t="shared" si="37"/>
        <v>51286</v>
      </c>
    </row>
    <row r="469" spans="1:9">
      <c r="A469" s="12">
        <v>46029</v>
      </c>
      <c r="B469" s="10" t="s">
        <v>154</v>
      </c>
      <c r="C469" s="27">
        <v>4524</v>
      </c>
      <c r="D469" s="11">
        <v>50</v>
      </c>
      <c r="E469" s="7">
        <f t="shared" si="35"/>
        <v>90.48</v>
      </c>
      <c r="F469" s="10">
        <v>1123</v>
      </c>
      <c r="G469" s="10" t="s">
        <v>146</v>
      </c>
      <c r="H469" s="8">
        <f t="shared" si="37"/>
        <v>4189282</v>
      </c>
      <c r="I469" s="9">
        <f t="shared" si="37"/>
        <v>51336</v>
      </c>
    </row>
    <row r="470" spans="1:9">
      <c r="A470" s="12">
        <v>46029</v>
      </c>
      <c r="B470" s="10" t="s">
        <v>154</v>
      </c>
      <c r="C470" s="27">
        <v>10635</v>
      </c>
      <c r="D470" s="11">
        <v>72</v>
      </c>
      <c r="E470" s="7">
        <f t="shared" si="35"/>
        <v>147.70833333333334</v>
      </c>
      <c r="F470" s="10">
        <v>1072</v>
      </c>
      <c r="G470" s="10" t="s">
        <v>47</v>
      </c>
      <c r="H470" s="8">
        <f t="shared" si="37"/>
        <v>4199917</v>
      </c>
      <c r="I470" s="9">
        <f t="shared" si="37"/>
        <v>51408</v>
      </c>
    </row>
    <row r="471" spans="1:9">
      <c r="A471" s="12">
        <v>46029</v>
      </c>
      <c r="B471" s="10" t="s">
        <v>155</v>
      </c>
      <c r="C471" s="27">
        <v>10076</v>
      </c>
      <c r="D471" s="11">
        <v>48</v>
      </c>
      <c r="E471" s="7">
        <f t="shared" si="35"/>
        <v>209.91666666666666</v>
      </c>
      <c r="F471" s="10">
        <v>1123</v>
      </c>
      <c r="G471" s="10" t="s">
        <v>146</v>
      </c>
      <c r="H471" s="8">
        <f t="shared" si="37"/>
        <v>4209993</v>
      </c>
      <c r="I471" s="9">
        <f t="shared" si="37"/>
        <v>51456</v>
      </c>
    </row>
    <row r="472" spans="1:9">
      <c r="A472" s="12">
        <v>46029</v>
      </c>
      <c r="B472" s="10" t="s">
        <v>155</v>
      </c>
      <c r="C472" s="27">
        <v>11807</v>
      </c>
      <c r="D472" s="11">
        <v>54</v>
      </c>
      <c r="E472" s="7">
        <f t="shared" si="35"/>
        <v>218.64814814814815</v>
      </c>
      <c r="F472" s="10">
        <v>1072</v>
      </c>
      <c r="G472" s="10" t="s">
        <v>47</v>
      </c>
      <c r="H472" s="8">
        <f t="shared" si="37"/>
        <v>4221800</v>
      </c>
      <c r="I472" s="9">
        <f t="shared" si="37"/>
        <v>51510</v>
      </c>
    </row>
    <row r="473" spans="1:9">
      <c r="A473" s="12">
        <v>46030</v>
      </c>
      <c r="B473" s="10" t="s">
        <v>156</v>
      </c>
      <c r="C473" s="27">
        <v>6868</v>
      </c>
      <c r="D473" s="11">
        <v>71</v>
      </c>
      <c r="E473" s="7">
        <f t="shared" si="35"/>
        <v>96.732394366197184</v>
      </c>
      <c r="F473" s="10">
        <v>1123</v>
      </c>
      <c r="G473" s="10" t="s">
        <v>146</v>
      </c>
      <c r="H473" s="8">
        <f t="shared" si="37"/>
        <v>4228668</v>
      </c>
      <c r="I473" s="9">
        <f t="shared" si="37"/>
        <v>51581</v>
      </c>
    </row>
    <row r="474" spans="1:9">
      <c r="A474" s="12">
        <v>46030</v>
      </c>
      <c r="B474" s="10" t="s">
        <v>156</v>
      </c>
      <c r="C474" s="27">
        <v>8717</v>
      </c>
      <c r="D474" s="11">
        <v>59</v>
      </c>
      <c r="E474" s="7">
        <f t="shared" si="35"/>
        <v>147.74576271186442</v>
      </c>
      <c r="F474" s="10">
        <v>1072</v>
      </c>
      <c r="G474" s="10" t="s">
        <v>47</v>
      </c>
      <c r="H474" s="8">
        <f t="shared" si="37"/>
        <v>4237385</v>
      </c>
      <c r="I474" s="9">
        <f t="shared" si="37"/>
        <v>51640</v>
      </c>
    </row>
    <row r="475" spans="1:9">
      <c r="A475" s="12">
        <v>46030</v>
      </c>
      <c r="B475" s="10" t="s">
        <v>155</v>
      </c>
      <c r="C475" s="27">
        <v>13083</v>
      </c>
      <c r="D475" s="11">
        <v>91</v>
      </c>
      <c r="E475" s="7">
        <f t="shared" si="35"/>
        <v>143.76923076923077</v>
      </c>
      <c r="F475" s="10">
        <v>1123</v>
      </c>
      <c r="G475" s="10" t="s">
        <v>146</v>
      </c>
      <c r="H475" s="8">
        <f t="shared" si="37"/>
        <v>4250468</v>
      </c>
      <c r="I475" s="9">
        <f t="shared" si="37"/>
        <v>51731</v>
      </c>
    </row>
    <row r="476" spans="1:9">
      <c r="A476" s="12">
        <v>46030</v>
      </c>
      <c r="B476" s="10" t="s">
        <v>155</v>
      </c>
      <c r="C476" s="27">
        <v>17003</v>
      </c>
      <c r="D476" s="11">
        <v>86</v>
      </c>
      <c r="E476" s="7">
        <f t="shared" si="35"/>
        <v>197.7093023255814</v>
      </c>
      <c r="F476" s="10">
        <v>1072</v>
      </c>
      <c r="G476" s="10" t="s">
        <v>47</v>
      </c>
      <c r="H476" s="8">
        <f t="shared" si="37"/>
        <v>4267471</v>
      </c>
      <c r="I476" s="9">
        <f t="shared" si="37"/>
        <v>51817</v>
      </c>
    </row>
    <row r="477" spans="1:9">
      <c r="A477" s="12">
        <v>46031</v>
      </c>
      <c r="B477" s="10" t="s">
        <v>155</v>
      </c>
      <c r="C477" s="27">
        <v>16761</v>
      </c>
      <c r="D477" s="11">
        <v>118</v>
      </c>
      <c r="E477" s="7">
        <f t="shared" si="35"/>
        <v>142.04237288135593</v>
      </c>
      <c r="F477" s="10">
        <v>1123</v>
      </c>
      <c r="G477" s="10" t="s">
        <v>146</v>
      </c>
      <c r="H477" s="8">
        <f t="shared" si="37"/>
        <v>4284232</v>
      </c>
      <c r="I477" s="9">
        <f t="shared" si="37"/>
        <v>51935</v>
      </c>
    </row>
    <row r="478" spans="1:9">
      <c r="A478" s="12">
        <v>46031</v>
      </c>
      <c r="B478" s="10" t="s">
        <v>155</v>
      </c>
      <c r="C478" s="27">
        <v>11806</v>
      </c>
      <c r="D478" s="11">
        <v>59</v>
      </c>
      <c r="E478" s="7">
        <f t="shared" si="35"/>
        <v>200.10169491525423</v>
      </c>
      <c r="F478" s="10">
        <v>1072</v>
      </c>
      <c r="G478" s="10" t="s">
        <v>47</v>
      </c>
      <c r="H478" s="8">
        <f t="shared" si="37"/>
        <v>4296038</v>
      </c>
      <c r="I478" s="9">
        <f t="shared" si="37"/>
        <v>51994</v>
      </c>
    </row>
    <row r="479" spans="1:9">
      <c r="A479" s="22">
        <v>46032</v>
      </c>
      <c r="B479" s="23" t="s">
        <v>157</v>
      </c>
      <c r="C479" s="28">
        <v>4879</v>
      </c>
      <c r="D479" s="23">
        <v>81</v>
      </c>
      <c r="E479" s="24">
        <f t="shared" si="35"/>
        <v>60.23456790123457</v>
      </c>
      <c r="F479" s="10">
        <v>1072</v>
      </c>
      <c r="G479" s="23" t="s">
        <v>47</v>
      </c>
      <c r="H479" s="8">
        <f t="shared" si="37"/>
        <v>4300917</v>
      </c>
      <c r="I479" s="25">
        <f t="shared" si="37"/>
        <v>52075</v>
      </c>
    </row>
    <row r="480" spans="1:9">
      <c r="A480" s="22">
        <v>46032</v>
      </c>
      <c r="B480" s="23" t="s">
        <v>157</v>
      </c>
      <c r="C480" s="28">
        <v>7258</v>
      </c>
      <c r="D480" s="23">
        <v>73</v>
      </c>
      <c r="E480" s="24">
        <f t="shared" si="35"/>
        <v>99.424657534246577</v>
      </c>
      <c r="F480" s="10">
        <v>1123</v>
      </c>
      <c r="G480" s="23" t="s">
        <v>12</v>
      </c>
      <c r="H480" s="8">
        <f t="shared" si="37"/>
        <v>4308175</v>
      </c>
      <c r="I480" s="25">
        <f t="shared" si="37"/>
        <v>52148</v>
      </c>
    </row>
    <row r="481" spans="1:9">
      <c r="A481" s="22">
        <v>46034</v>
      </c>
      <c r="B481" s="23" t="s">
        <v>157</v>
      </c>
      <c r="C481" s="28">
        <v>3455</v>
      </c>
      <c r="D481" s="23">
        <v>34</v>
      </c>
      <c r="E481" s="24">
        <f t="shared" si="35"/>
        <v>101.61764705882354</v>
      </c>
      <c r="F481" s="10">
        <v>1072</v>
      </c>
      <c r="G481" s="23" t="s">
        <v>146</v>
      </c>
      <c r="H481" s="8">
        <f t="shared" si="37"/>
        <v>4311630</v>
      </c>
      <c r="I481" s="25">
        <f>I480+D481</f>
        <v>52182</v>
      </c>
    </row>
    <row r="482" spans="1:9">
      <c r="A482" s="22">
        <v>46034</v>
      </c>
      <c r="B482" s="23" t="s">
        <v>157</v>
      </c>
      <c r="C482" s="28">
        <v>5675</v>
      </c>
      <c r="D482" s="23">
        <v>61</v>
      </c>
      <c r="E482" s="24">
        <f t="shared" si="35"/>
        <v>93.032786885245898</v>
      </c>
      <c r="F482" s="10">
        <v>1123</v>
      </c>
      <c r="G482" s="23" t="s">
        <v>12</v>
      </c>
      <c r="H482" s="8">
        <f t="shared" si="37"/>
        <v>4317305</v>
      </c>
      <c r="I482" s="25">
        <f t="shared" si="37"/>
        <v>52243</v>
      </c>
    </row>
    <row r="483" spans="1:9">
      <c r="A483" s="22">
        <v>46034</v>
      </c>
      <c r="B483" s="23" t="s">
        <v>158</v>
      </c>
      <c r="C483" s="28">
        <v>9394</v>
      </c>
      <c r="D483" s="23">
        <v>62</v>
      </c>
      <c r="E483" s="24">
        <f t="shared" si="35"/>
        <v>151.51612903225808</v>
      </c>
      <c r="F483" s="10">
        <v>1123</v>
      </c>
      <c r="G483" s="23" t="s">
        <v>12</v>
      </c>
      <c r="H483" s="8">
        <f t="shared" ref="H483:H487" si="38">H482+C483</f>
        <v>4326699</v>
      </c>
      <c r="I483" s="25">
        <f t="shared" ref="I483:I487" si="39">I482+D483</f>
        <v>52305</v>
      </c>
    </row>
    <row r="484" spans="1:9">
      <c r="A484" s="22">
        <v>46034</v>
      </c>
      <c r="B484" s="23" t="s">
        <v>155</v>
      </c>
      <c r="C484" s="28">
        <v>7945</v>
      </c>
      <c r="D484" s="23">
        <v>32</v>
      </c>
      <c r="E484" s="24">
        <f t="shared" si="35"/>
        <v>248.28125</v>
      </c>
      <c r="F484" s="10">
        <v>1072</v>
      </c>
      <c r="G484" s="23" t="s">
        <v>146</v>
      </c>
      <c r="H484" s="8">
        <f t="shared" si="38"/>
        <v>4334644</v>
      </c>
      <c r="I484" s="25">
        <f t="shared" si="39"/>
        <v>52337</v>
      </c>
    </row>
    <row r="485" spans="1:9">
      <c r="A485" s="22">
        <v>46035</v>
      </c>
      <c r="B485" s="23" t="s">
        <v>158</v>
      </c>
      <c r="C485" s="28">
        <v>20723</v>
      </c>
      <c r="D485" s="23">
        <v>136</v>
      </c>
      <c r="E485" s="24">
        <f t="shared" si="35"/>
        <v>152.375</v>
      </c>
      <c r="F485" s="10">
        <v>1123</v>
      </c>
      <c r="G485" s="23" t="s">
        <v>12</v>
      </c>
      <c r="H485" s="8">
        <f t="shared" si="38"/>
        <v>4355367</v>
      </c>
      <c r="I485" s="25">
        <f t="shared" si="39"/>
        <v>52473</v>
      </c>
    </row>
    <row r="486" spans="1:9">
      <c r="A486" s="22">
        <v>46035</v>
      </c>
      <c r="B486" s="23" t="s">
        <v>158</v>
      </c>
      <c r="C486" s="28">
        <v>22964</v>
      </c>
      <c r="D486" s="23">
        <v>166</v>
      </c>
      <c r="E486" s="24">
        <f t="shared" si="35"/>
        <v>138.33734939759037</v>
      </c>
      <c r="F486" s="10">
        <v>1072</v>
      </c>
      <c r="G486" s="23" t="s">
        <v>146</v>
      </c>
      <c r="H486" s="8">
        <f t="shared" si="38"/>
        <v>4378331</v>
      </c>
      <c r="I486" s="25">
        <f t="shared" si="39"/>
        <v>52639</v>
      </c>
    </row>
    <row r="487" spans="1:9">
      <c r="A487" s="22">
        <v>46036</v>
      </c>
      <c r="B487" s="10" t="s">
        <v>155</v>
      </c>
      <c r="C487" s="28">
        <v>9918</v>
      </c>
      <c r="D487" s="23">
        <v>61</v>
      </c>
      <c r="E487" s="24">
        <f t="shared" si="35"/>
        <v>162.59016393442624</v>
      </c>
      <c r="F487" s="10">
        <v>1072</v>
      </c>
      <c r="G487" s="23" t="s">
        <v>146</v>
      </c>
      <c r="H487" s="8">
        <f t="shared" si="38"/>
        <v>4388249</v>
      </c>
      <c r="I487" s="25">
        <f t="shared" si="39"/>
        <v>52700</v>
      </c>
    </row>
    <row r="488" spans="1:9">
      <c r="A488" s="5">
        <v>46036</v>
      </c>
      <c r="B488" s="10" t="s">
        <v>155</v>
      </c>
      <c r="C488" s="27">
        <v>6162</v>
      </c>
      <c r="D488" s="6">
        <v>44</v>
      </c>
      <c r="E488" s="7">
        <f t="shared" ref="E488:E543" si="40">IF(D488&gt;0,(C488/D488),"*")</f>
        <v>140.04545454545453</v>
      </c>
      <c r="F488" s="10">
        <v>1123</v>
      </c>
      <c r="G488" s="23" t="s">
        <v>12</v>
      </c>
      <c r="H488" s="8">
        <f t="shared" ref="H488:H543" si="41">H487+C488</f>
        <v>4394411</v>
      </c>
      <c r="I488" s="9">
        <f t="shared" ref="I488:I543" si="42">I487+D488</f>
        <v>52744</v>
      </c>
    </row>
    <row r="489" spans="1:9">
      <c r="A489" s="5">
        <v>46037</v>
      </c>
      <c r="B489" s="10" t="s">
        <v>155</v>
      </c>
      <c r="C489" s="27">
        <v>20302</v>
      </c>
      <c r="D489" s="6">
        <v>122</v>
      </c>
      <c r="E489" s="7">
        <f t="shared" si="40"/>
        <v>166.40983606557376</v>
      </c>
      <c r="F489" s="10">
        <v>1123</v>
      </c>
      <c r="G489" s="6" t="s">
        <v>12</v>
      </c>
      <c r="H489" s="8">
        <f t="shared" si="41"/>
        <v>4414713</v>
      </c>
      <c r="I489" s="9">
        <f t="shared" si="42"/>
        <v>52866</v>
      </c>
    </row>
    <row r="490" spans="1:9">
      <c r="A490" s="5">
        <v>46037</v>
      </c>
      <c r="B490" s="10" t="s">
        <v>155</v>
      </c>
      <c r="C490" s="27">
        <v>20393</v>
      </c>
      <c r="D490" s="6">
        <v>198</v>
      </c>
      <c r="E490" s="7">
        <f t="shared" si="40"/>
        <v>102.99494949494949</v>
      </c>
      <c r="F490" s="10">
        <v>1072</v>
      </c>
      <c r="G490" s="6" t="s">
        <v>146</v>
      </c>
      <c r="H490" s="8">
        <f t="shared" si="41"/>
        <v>4435106</v>
      </c>
      <c r="I490" s="9">
        <f t="shared" si="42"/>
        <v>53064</v>
      </c>
    </row>
    <row r="491" spans="1:9">
      <c r="A491" s="5">
        <v>46038</v>
      </c>
      <c r="B491" s="10" t="s">
        <v>155</v>
      </c>
      <c r="C491" s="27">
        <v>10314</v>
      </c>
      <c r="D491" s="6">
        <v>84</v>
      </c>
      <c r="E491" s="7">
        <f t="shared" si="40"/>
        <v>122.78571428571429</v>
      </c>
      <c r="F491" s="10">
        <v>1123</v>
      </c>
      <c r="G491" s="6" t="s">
        <v>12</v>
      </c>
      <c r="H491" s="8">
        <f t="shared" si="41"/>
        <v>4445420</v>
      </c>
      <c r="I491" s="9">
        <f t="shared" si="42"/>
        <v>53148</v>
      </c>
    </row>
    <row r="492" spans="1:9">
      <c r="A492" s="5">
        <v>46038</v>
      </c>
      <c r="B492" s="10" t="s">
        <v>155</v>
      </c>
      <c r="C492" s="27">
        <v>11231</v>
      </c>
      <c r="D492" s="6">
        <v>106</v>
      </c>
      <c r="E492" s="7">
        <f t="shared" si="40"/>
        <v>105.95283018867924</v>
      </c>
      <c r="F492" s="10">
        <v>1072</v>
      </c>
      <c r="G492" s="6" t="s">
        <v>146</v>
      </c>
      <c r="H492" s="8">
        <f t="shared" si="41"/>
        <v>4456651</v>
      </c>
      <c r="I492" s="9">
        <f t="shared" si="42"/>
        <v>53254</v>
      </c>
    </row>
    <row r="493" spans="1:9">
      <c r="A493" s="5">
        <v>46042</v>
      </c>
      <c r="B493" s="6" t="s">
        <v>159</v>
      </c>
      <c r="C493" s="27">
        <v>7400</v>
      </c>
      <c r="D493" s="6">
        <v>65</v>
      </c>
      <c r="E493" s="7">
        <f t="shared" si="40"/>
        <v>113.84615384615384</v>
      </c>
      <c r="F493" s="10">
        <v>1123</v>
      </c>
      <c r="G493" s="6" t="s">
        <v>12</v>
      </c>
      <c r="H493" s="8">
        <f t="shared" si="41"/>
        <v>4464051</v>
      </c>
      <c r="I493" s="9">
        <f t="shared" si="42"/>
        <v>53319</v>
      </c>
    </row>
    <row r="494" spans="1:9">
      <c r="A494" s="5">
        <v>46042</v>
      </c>
      <c r="B494" s="6" t="s">
        <v>159</v>
      </c>
      <c r="C494" s="27">
        <v>8211</v>
      </c>
      <c r="D494" s="11">
        <v>58</v>
      </c>
      <c r="E494" s="7">
        <f t="shared" si="40"/>
        <v>141.56896551724137</v>
      </c>
      <c r="F494" s="10">
        <v>1072</v>
      </c>
      <c r="G494" s="10" t="s">
        <v>146</v>
      </c>
      <c r="H494" s="8">
        <f t="shared" si="41"/>
        <v>4472262</v>
      </c>
      <c r="I494" s="9">
        <f t="shared" si="42"/>
        <v>53377</v>
      </c>
    </row>
    <row r="495" spans="1:9">
      <c r="A495" s="12">
        <v>46043</v>
      </c>
      <c r="B495" s="6" t="s">
        <v>159</v>
      </c>
      <c r="C495" s="27">
        <v>2629</v>
      </c>
      <c r="D495" s="11">
        <v>23</v>
      </c>
      <c r="E495" s="7">
        <f t="shared" si="40"/>
        <v>114.30434782608695</v>
      </c>
      <c r="F495" s="10">
        <v>1123</v>
      </c>
      <c r="G495" s="6" t="s">
        <v>12</v>
      </c>
      <c r="H495" s="8">
        <f t="shared" si="41"/>
        <v>4474891</v>
      </c>
      <c r="I495" s="9">
        <f t="shared" si="42"/>
        <v>53400</v>
      </c>
    </row>
    <row r="496" spans="1:9">
      <c r="A496" s="12">
        <v>46043</v>
      </c>
      <c r="B496" s="6" t="s">
        <v>160</v>
      </c>
      <c r="C496" s="27">
        <v>31246</v>
      </c>
      <c r="D496" s="11">
        <v>138</v>
      </c>
      <c r="E496" s="7">
        <f t="shared" si="40"/>
        <v>226.42028985507247</v>
      </c>
      <c r="F496" s="10">
        <v>1072</v>
      </c>
      <c r="G496" s="10" t="s">
        <v>146</v>
      </c>
      <c r="H496" s="8">
        <f t="shared" si="41"/>
        <v>4506137</v>
      </c>
      <c r="I496" s="9">
        <f t="shared" si="42"/>
        <v>53538</v>
      </c>
    </row>
    <row r="497" spans="1:9">
      <c r="A497" s="12">
        <v>46043</v>
      </c>
      <c r="B497" s="6" t="s">
        <v>160</v>
      </c>
      <c r="C497" s="27">
        <v>18319</v>
      </c>
      <c r="D497" s="11">
        <v>89</v>
      </c>
      <c r="E497" s="7">
        <f t="shared" si="40"/>
        <v>205.83146067415731</v>
      </c>
      <c r="F497" s="10">
        <v>1123</v>
      </c>
      <c r="G497" s="6" t="s">
        <v>12</v>
      </c>
      <c r="H497" s="8">
        <f t="shared" si="41"/>
        <v>4524456</v>
      </c>
      <c r="I497" s="9">
        <f t="shared" si="42"/>
        <v>53627</v>
      </c>
    </row>
    <row r="498" spans="1:9">
      <c r="A498" s="12">
        <v>46044</v>
      </c>
      <c r="B498" s="6" t="s">
        <v>160</v>
      </c>
      <c r="C498" s="27">
        <v>1900</v>
      </c>
      <c r="D498" s="11">
        <v>23</v>
      </c>
      <c r="E498" s="7">
        <f t="shared" si="40"/>
        <v>82.608695652173907</v>
      </c>
      <c r="F498" s="10">
        <v>1123</v>
      </c>
      <c r="G498" s="6" t="s">
        <v>12</v>
      </c>
      <c r="H498" s="8">
        <f t="shared" si="41"/>
        <v>4526356</v>
      </c>
      <c r="I498" s="9">
        <f t="shared" si="42"/>
        <v>53650</v>
      </c>
    </row>
    <row r="499" spans="1:9">
      <c r="A499" s="12">
        <v>46044</v>
      </c>
      <c r="B499" s="6" t="s">
        <v>160</v>
      </c>
      <c r="C499" s="27">
        <v>2061</v>
      </c>
      <c r="D499" s="11">
        <v>12</v>
      </c>
      <c r="E499" s="7">
        <f t="shared" si="40"/>
        <v>171.75</v>
      </c>
      <c r="F499" s="10">
        <v>1072</v>
      </c>
      <c r="G499" s="10" t="s">
        <v>146</v>
      </c>
      <c r="H499" s="8">
        <f t="shared" si="41"/>
        <v>4528417</v>
      </c>
      <c r="I499" s="9">
        <f t="shared" si="42"/>
        <v>53662</v>
      </c>
    </row>
    <row r="500" spans="1:9">
      <c r="A500" s="12">
        <v>46045</v>
      </c>
      <c r="B500" s="10" t="s">
        <v>161</v>
      </c>
      <c r="C500" s="27">
        <v>11230</v>
      </c>
      <c r="D500" s="11">
        <v>75</v>
      </c>
      <c r="E500" s="7">
        <f t="shared" si="40"/>
        <v>149.73333333333332</v>
      </c>
      <c r="F500" s="10">
        <v>1072</v>
      </c>
      <c r="G500" s="10" t="s">
        <v>146</v>
      </c>
      <c r="H500" s="8">
        <f t="shared" si="41"/>
        <v>4539647</v>
      </c>
      <c r="I500" s="9">
        <f t="shared" si="42"/>
        <v>53737</v>
      </c>
    </row>
    <row r="501" spans="1:9">
      <c r="A501" s="12">
        <v>46045</v>
      </c>
      <c r="B501" s="10" t="s">
        <v>161</v>
      </c>
      <c r="C501" s="27">
        <v>10014</v>
      </c>
      <c r="D501" s="11">
        <v>69</v>
      </c>
      <c r="E501" s="7">
        <f t="shared" si="40"/>
        <v>145.13043478260869</v>
      </c>
      <c r="F501" s="10">
        <v>1123</v>
      </c>
      <c r="G501" s="6" t="s">
        <v>12</v>
      </c>
      <c r="H501" s="8">
        <f t="shared" si="41"/>
        <v>4549661</v>
      </c>
      <c r="I501" s="9">
        <f t="shared" si="42"/>
        <v>53806</v>
      </c>
    </row>
    <row r="502" spans="1:9">
      <c r="A502" s="12">
        <v>46046</v>
      </c>
      <c r="B502" s="10" t="s">
        <v>161</v>
      </c>
      <c r="C502" s="27">
        <v>10000</v>
      </c>
      <c r="D502" s="11">
        <v>73</v>
      </c>
      <c r="E502" s="7">
        <f t="shared" ref="E502:E504" si="43">IF(D502&gt;0,(C502/D502),"*")</f>
        <v>136.98630136986301</v>
      </c>
      <c r="F502" s="10">
        <v>1123</v>
      </c>
      <c r="G502" s="6" t="s">
        <v>12</v>
      </c>
      <c r="H502" s="8">
        <f t="shared" ref="H502:H505" si="44">H501+C502</f>
        <v>4559661</v>
      </c>
      <c r="I502" s="9">
        <f t="shared" ref="I502:I505" si="45">I501+D502</f>
        <v>53879</v>
      </c>
    </row>
    <row r="503" spans="1:9">
      <c r="A503" s="12">
        <v>46046</v>
      </c>
      <c r="B503" s="10" t="s">
        <v>161</v>
      </c>
      <c r="C503" s="27">
        <v>11391</v>
      </c>
      <c r="D503" s="11">
        <v>71</v>
      </c>
      <c r="E503" s="7">
        <f t="shared" si="43"/>
        <v>160.43661971830986</v>
      </c>
      <c r="F503" s="10">
        <v>1072</v>
      </c>
      <c r="G503" s="10" t="s">
        <v>146</v>
      </c>
      <c r="H503" s="8">
        <f t="shared" si="44"/>
        <v>4571052</v>
      </c>
      <c r="I503" s="9">
        <f t="shared" si="45"/>
        <v>53950</v>
      </c>
    </row>
    <row r="504" spans="1:9">
      <c r="A504" s="12">
        <v>46048</v>
      </c>
      <c r="B504" s="10" t="s">
        <v>161</v>
      </c>
      <c r="C504" s="27">
        <v>7660</v>
      </c>
      <c r="D504" s="11">
        <v>51</v>
      </c>
      <c r="E504" s="7">
        <f t="shared" si="43"/>
        <v>150.19607843137254</v>
      </c>
      <c r="F504" s="10">
        <v>1072</v>
      </c>
      <c r="G504" s="10" t="s">
        <v>146</v>
      </c>
      <c r="H504" s="8">
        <f t="shared" si="44"/>
        <v>4578712</v>
      </c>
      <c r="I504" s="9">
        <f t="shared" si="45"/>
        <v>54001</v>
      </c>
    </row>
    <row r="505" spans="1:9">
      <c r="A505" s="12">
        <v>46049</v>
      </c>
      <c r="B505" s="10" t="s">
        <v>162</v>
      </c>
      <c r="C505" s="27">
        <v>1482</v>
      </c>
      <c r="D505" s="11">
        <v>18</v>
      </c>
      <c r="E505" s="7">
        <f t="shared" si="40"/>
        <v>82.333333333333329</v>
      </c>
      <c r="F505" s="10">
        <v>1123</v>
      </c>
      <c r="G505" s="6" t="s">
        <v>12</v>
      </c>
      <c r="H505" s="8">
        <f t="shared" si="44"/>
        <v>4580194</v>
      </c>
      <c r="I505" s="9">
        <f t="shared" si="45"/>
        <v>54019</v>
      </c>
    </row>
    <row r="506" spans="1:9">
      <c r="A506" s="12">
        <v>46050</v>
      </c>
      <c r="B506" s="10" t="s">
        <v>163</v>
      </c>
      <c r="C506" s="27">
        <v>9898</v>
      </c>
      <c r="D506" s="11">
        <v>67</v>
      </c>
      <c r="E506" s="7">
        <f t="shared" si="40"/>
        <v>147.73134328358208</v>
      </c>
      <c r="F506" s="10">
        <v>1123</v>
      </c>
      <c r="G506" s="6" t="s">
        <v>12</v>
      </c>
      <c r="H506" s="8">
        <f t="shared" si="41"/>
        <v>4590092</v>
      </c>
      <c r="I506" s="9">
        <f t="shared" si="42"/>
        <v>54086</v>
      </c>
    </row>
    <row r="507" spans="1:9">
      <c r="A507" s="12">
        <v>46050</v>
      </c>
      <c r="B507" s="10" t="s">
        <v>163</v>
      </c>
      <c r="C507" s="27">
        <v>11238</v>
      </c>
      <c r="D507" s="11">
        <v>92</v>
      </c>
      <c r="E507" s="7">
        <f t="shared" si="40"/>
        <v>122.15217391304348</v>
      </c>
      <c r="F507" s="10">
        <v>1072</v>
      </c>
      <c r="G507" s="10" t="s">
        <v>146</v>
      </c>
      <c r="H507" s="8">
        <f t="shared" si="41"/>
        <v>4601330</v>
      </c>
      <c r="I507" s="9">
        <f t="shared" si="42"/>
        <v>54178</v>
      </c>
    </row>
    <row r="508" spans="1:9">
      <c r="A508" s="12">
        <v>46051</v>
      </c>
      <c r="B508" s="10" t="s">
        <v>163</v>
      </c>
      <c r="C508" s="27">
        <v>24026</v>
      </c>
      <c r="D508" s="11">
        <v>167</v>
      </c>
      <c r="E508" s="7">
        <f t="shared" si="40"/>
        <v>143.8682634730539</v>
      </c>
      <c r="F508" s="10">
        <v>1123</v>
      </c>
      <c r="G508" s="10" t="s">
        <v>146</v>
      </c>
      <c r="H508" s="8">
        <f t="shared" si="41"/>
        <v>4625356</v>
      </c>
      <c r="I508" s="9">
        <f t="shared" si="42"/>
        <v>54345</v>
      </c>
    </row>
    <row r="509" spans="1:9">
      <c r="A509" s="12">
        <v>46051</v>
      </c>
      <c r="B509" s="10" t="s">
        <v>163</v>
      </c>
      <c r="C509" s="27">
        <v>20496</v>
      </c>
      <c r="D509" s="11">
        <v>150</v>
      </c>
      <c r="E509" s="7">
        <f t="shared" si="40"/>
        <v>136.63999999999999</v>
      </c>
      <c r="F509" s="10">
        <v>1072</v>
      </c>
      <c r="G509" s="6" t="s">
        <v>12</v>
      </c>
      <c r="H509" s="8">
        <f t="shared" si="41"/>
        <v>4645852</v>
      </c>
      <c r="I509" s="9">
        <f t="shared" si="42"/>
        <v>54495</v>
      </c>
    </row>
    <row r="510" spans="1:9">
      <c r="A510" s="12">
        <v>46052</v>
      </c>
      <c r="B510" s="6" t="s">
        <v>160</v>
      </c>
      <c r="C510" s="27">
        <v>11422</v>
      </c>
      <c r="D510" s="11">
        <v>60</v>
      </c>
      <c r="E510" s="7">
        <f t="shared" si="40"/>
        <v>190.36666666666667</v>
      </c>
      <c r="F510" s="10">
        <v>1072</v>
      </c>
      <c r="G510" s="10" t="s">
        <v>146</v>
      </c>
      <c r="H510" s="8">
        <f t="shared" si="41"/>
        <v>4657274</v>
      </c>
      <c r="I510" s="9">
        <f t="shared" si="42"/>
        <v>54555</v>
      </c>
    </row>
    <row r="511" spans="1:9">
      <c r="A511" s="12">
        <v>46052</v>
      </c>
      <c r="B511" s="6" t="s">
        <v>160</v>
      </c>
      <c r="C511" s="27">
        <v>9022</v>
      </c>
      <c r="D511" s="11">
        <v>77</v>
      </c>
      <c r="E511" s="7">
        <f t="shared" si="40"/>
        <v>117.16883116883118</v>
      </c>
      <c r="F511" s="10">
        <v>1123</v>
      </c>
      <c r="G511" s="6" t="s">
        <v>12</v>
      </c>
      <c r="H511" s="8">
        <f t="shared" si="41"/>
        <v>4666296</v>
      </c>
      <c r="I511" s="9">
        <f t="shared" si="42"/>
        <v>54632</v>
      </c>
    </row>
    <row r="512" spans="1:9">
      <c r="A512" s="12">
        <v>46055</v>
      </c>
      <c r="B512" s="6" t="s">
        <v>160</v>
      </c>
      <c r="C512" s="27">
        <v>3482</v>
      </c>
      <c r="D512" s="11">
        <v>26</v>
      </c>
      <c r="E512" s="7">
        <f t="shared" si="40"/>
        <v>133.92307692307693</v>
      </c>
      <c r="F512" s="10">
        <v>1123</v>
      </c>
      <c r="G512" s="6" t="s">
        <v>12</v>
      </c>
      <c r="H512" s="8">
        <f t="shared" si="41"/>
        <v>4669778</v>
      </c>
      <c r="I512" s="9">
        <f t="shared" si="42"/>
        <v>54658</v>
      </c>
    </row>
    <row r="513" spans="1:9">
      <c r="A513" s="12">
        <v>46057</v>
      </c>
      <c r="B513" s="10" t="s">
        <v>164</v>
      </c>
      <c r="C513" s="27">
        <v>19571</v>
      </c>
      <c r="D513" s="11">
        <v>129</v>
      </c>
      <c r="E513" s="7">
        <f t="shared" si="40"/>
        <v>151.71317829457365</v>
      </c>
      <c r="F513" s="10">
        <v>1123</v>
      </c>
      <c r="G513" s="6" t="s">
        <v>12</v>
      </c>
      <c r="H513" s="8">
        <f t="shared" si="41"/>
        <v>4689349</v>
      </c>
      <c r="I513" s="9">
        <f t="shared" si="42"/>
        <v>54787</v>
      </c>
    </row>
    <row r="514" spans="1:9">
      <c r="A514" s="12">
        <v>46057</v>
      </c>
      <c r="B514" s="10" t="s">
        <v>164</v>
      </c>
      <c r="C514" s="27">
        <v>1838</v>
      </c>
      <c r="D514" s="11">
        <v>12</v>
      </c>
      <c r="E514" s="7">
        <f t="shared" si="40"/>
        <v>153.16666666666666</v>
      </c>
      <c r="F514" s="10">
        <v>1072</v>
      </c>
      <c r="G514" s="10" t="s">
        <v>47</v>
      </c>
      <c r="H514" s="8">
        <f t="shared" si="41"/>
        <v>4691187</v>
      </c>
      <c r="I514" s="9">
        <f t="shared" si="42"/>
        <v>54799</v>
      </c>
    </row>
    <row r="515" spans="1:9">
      <c r="A515" s="12">
        <v>46058</v>
      </c>
      <c r="B515" s="10" t="s">
        <v>164</v>
      </c>
      <c r="C515" s="27">
        <v>4979</v>
      </c>
      <c r="D515" s="11">
        <v>41</v>
      </c>
      <c r="E515" s="7">
        <f t="shared" si="40"/>
        <v>121.4390243902439</v>
      </c>
      <c r="F515" s="10">
        <v>1123</v>
      </c>
      <c r="G515" s="6" t="s">
        <v>12</v>
      </c>
      <c r="H515" s="8">
        <f t="shared" si="41"/>
        <v>4696166</v>
      </c>
      <c r="I515" s="9">
        <f t="shared" si="42"/>
        <v>54840</v>
      </c>
    </row>
    <row r="516" spans="1:9">
      <c r="A516" s="12">
        <v>46058</v>
      </c>
      <c r="B516" s="10" t="s">
        <v>165</v>
      </c>
      <c r="C516" s="27">
        <v>1304</v>
      </c>
      <c r="D516" s="11">
        <v>15</v>
      </c>
      <c r="E516" s="7">
        <f t="shared" si="40"/>
        <v>86.933333333333337</v>
      </c>
      <c r="F516" s="10">
        <v>1123</v>
      </c>
      <c r="G516" s="6" t="s">
        <v>12</v>
      </c>
      <c r="H516" s="8">
        <f t="shared" si="41"/>
        <v>4697470</v>
      </c>
      <c r="I516" s="9">
        <f t="shared" si="42"/>
        <v>54855</v>
      </c>
    </row>
    <row r="517" spans="1:9">
      <c r="A517" s="12">
        <v>46059</v>
      </c>
      <c r="B517" s="10" t="s">
        <v>164</v>
      </c>
      <c r="C517" s="27">
        <v>8977</v>
      </c>
      <c r="D517" s="11">
        <v>61</v>
      </c>
      <c r="E517" s="7">
        <f t="shared" si="40"/>
        <v>147.1639344262295</v>
      </c>
      <c r="F517" s="10">
        <v>1123</v>
      </c>
      <c r="G517" s="6" t="s">
        <v>12</v>
      </c>
      <c r="H517" s="8">
        <f t="shared" si="41"/>
        <v>4706447</v>
      </c>
      <c r="I517" s="9">
        <f t="shared" si="42"/>
        <v>54916</v>
      </c>
    </row>
    <row r="518" spans="1:9">
      <c r="A518" s="12">
        <v>46059</v>
      </c>
      <c r="B518" s="10" t="s">
        <v>164</v>
      </c>
      <c r="C518" s="27">
        <v>5224</v>
      </c>
      <c r="D518" s="11">
        <v>46</v>
      </c>
      <c r="E518" s="7">
        <f t="shared" si="40"/>
        <v>113.56521739130434</v>
      </c>
      <c r="F518" s="10">
        <v>1072</v>
      </c>
      <c r="G518" s="10" t="s">
        <v>47</v>
      </c>
      <c r="H518" s="8">
        <f t="shared" si="41"/>
        <v>4711671</v>
      </c>
      <c r="I518" s="9">
        <f t="shared" si="42"/>
        <v>54962</v>
      </c>
    </row>
    <row r="519" spans="1:9">
      <c r="A519" s="12">
        <v>46062</v>
      </c>
      <c r="B519" s="10" t="s">
        <v>164</v>
      </c>
      <c r="C519" s="27">
        <v>18858</v>
      </c>
      <c r="D519" s="11">
        <v>114</v>
      </c>
      <c r="E519" s="7">
        <f t="shared" si="40"/>
        <v>165.42105263157896</v>
      </c>
      <c r="F519" s="10">
        <v>1072</v>
      </c>
      <c r="G519" s="10" t="s">
        <v>47</v>
      </c>
      <c r="H519" s="8">
        <f t="shared" si="41"/>
        <v>4730529</v>
      </c>
      <c r="I519" s="9">
        <f t="shared" si="42"/>
        <v>55076</v>
      </c>
    </row>
    <row r="520" spans="1:9">
      <c r="A520" s="12">
        <v>46062</v>
      </c>
      <c r="B520" s="10" t="s">
        <v>164</v>
      </c>
      <c r="C520" s="27">
        <v>14901</v>
      </c>
      <c r="D520" s="11">
        <v>155</v>
      </c>
      <c r="E520" s="7">
        <f t="shared" si="40"/>
        <v>96.135483870967747</v>
      </c>
      <c r="F520" s="10">
        <v>1123</v>
      </c>
      <c r="G520" s="6" t="s">
        <v>12</v>
      </c>
      <c r="H520" s="8">
        <f t="shared" si="41"/>
        <v>4745430</v>
      </c>
      <c r="I520" s="9">
        <f t="shared" si="42"/>
        <v>55231</v>
      </c>
    </row>
    <row r="521" spans="1:9">
      <c r="A521" s="12">
        <v>46064</v>
      </c>
      <c r="B521" s="10" t="s">
        <v>166</v>
      </c>
      <c r="C521" s="27">
        <v>11042</v>
      </c>
      <c r="D521" s="11">
        <v>81</v>
      </c>
      <c r="E521" s="7">
        <f t="shared" si="40"/>
        <v>136.32098765432099</v>
      </c>
      <c r="F521" s="10">
        <v>1072</v>
      </c>
      <c r="G521" s="10" t="s">
        <v>47</v>
      </c>
      <c r="H521" s="8">
        <f t="shared" si="41"/>
        <v>4756472</v>
      </c>
      <c r="I521" s="9">
        <f t="shared" si="42"/>
        <v>55312</v>
      </c>
    </row>
    <row r="522" spans="1:9">
      <c r="A522" s="12">
        <v>46064</v>
      </c>
      <c r="B522" s="10" t="s">
        <v>166</v>
      </c>
      <c r="C522" s="27">
        <v>17656</v>
      </c>
      <c r="D522" s="11">
        <v>127</v>
      </c>
      <c r="E522" s="7">
        <f t="shared" si="40"/>
        <v>139.02362204724409</v>
      </c>
      <c r="F522" s="10">
        <v>1123</v>
      </c>
      <c r="G522" s="6" t="s">
        <v>12</v>
      </c>
      <c r="H522" s="8">
        <f t="shared" si="41"/>
        <v>4774128</v>
      </c>
      <c r="I522" s="9">
        <f t="shared" si="42"/>
        <v>55439</v>
      </c>
    </row>
    <row r="523" spans="1:9">
      <c r="A523" s="12">
        <v>46065</v>
      </c>
      <c r="B523" s="10" t="s">
        <v>166</v>
      </c>
      <c r="C523" s="27">
        <v>4223</v>
      </c>
      <c r="D523" s="11">
        <v>50</v>
      </c>
      <c r="E523" s="7">
        <f t="shared" si="40"/>
        <v>84.46</v>
      </c>
      <c r="F523" s="10">
        <v>1123</v>
      </c>
      <c r="G523" s="6" t="s">
        <v>12</v>
      </c>
      <c r="H523" s="8">
        <f t="shared" si="41"/>
        <v>4778351</v>
      </c>
      <c r="I523" s="9">
        <f t="shared" si="42"/>
        <v>55489</v>
      </c>
    </row>
    <row r="524" spans="1:9">
      <c r="A524" s="12">
        <v>46065</v>
      </c>
      <c r="B524" s="10" t="s">
        <v>166</v>
      </c>
      <c r="C524" s="27">
        <v>11181</v>
      </c>
      <c r="D524" s="11">
        <v>82</v>
      </c>
      <c r="E524" s="7">
        <f t="shared" si="40"/>
        <v>136.35365853658536</v>
      </c>
      <c r="F524" s="10">
        <v>1072</v>
      </c>
      <c r="G524" s="10" t="s">
        <v>47</v>
      </c>
      <c r="H524" s="8">
        <f t="shared" si="41"/>
        <v>4789532</v>
      </c>
      <c r="I524" s="9">
        <f t="shared" si="42"/>
        <v>55571</v>
      </c>
    </row>
    <row r="525" spans="1:9">
      <c r="A525" s="12">
        <v>46065</v>
      </c>
      <c r="B525" s="10" t="s">
        <v>167</v>
      </c>
      <c r="C525" s="27">
        <v>1317</v>
      </c>
      <c r="D525" s="11">
        <v>16</v>
      </c>
      <c r="E525" s="7">
        <f t="shared" si="40"/>
        <v>82.3125</v>
      </c>
      <c r="F525" s="10">
        <v>1072</v>
      </c>
      <c r="G525" s="10" t="s">
        <v>47</v>
      </c>
      <c r="H525" s="8">
        <f t="shared" si="41"/>
        <v>4790849</v>
      </c>
      <c r="I525" s="9">
        <f t="shared" si="42"/>
        <v>55587</v>
      </c>
    </row>
    <row r="526" spans="1:9">
      <c r="A526" s="12">
        <v>46065</v>
      </c>
      <c r="B526" s="10" t="s">
        <v>167</v>
      </c>
      <c r="C526" s="27">
        <v>7432</v>
      </c>
      <c r="D526" s="11">
        <v>46</v>
      </c>
      <c r="E526" s="7">
        <f t="shared" si="40"/>
        <v>161.56521739130434</v>
      </c>
      <c r="F526" s="10">
        <v>1123</v>
      </c>
      <c r="G526" s="6" t="s">
        <v>12</v>
      </c>
      <c r="H526" s="8">
        <f t="shared" si="41"/>
        <v>4798281</v>
      </c>
      <c r="I526" s="9">
        <f t="shared" si="42"/>
        <v>55633</v>
      </c>
    </row>
    <row r="527" spans="1:9">
      <c r="A527" s="12">
        <v>46066</v>
      </c>
      <c r="B527" s="10" t="s">
        <v>167</v>
      </c>
      <c r="C527" s="27">
        <v>10067</v>
      </c>
      <c r="D527" s="11">
        <v>62</v>
      </c>
      <c r="E527" s="7">
        <f t="shared" si="40"/>
        <v>162.37096774193549</v>
      </c>
      <c r="F527" s="10">
        <v>1123</v>
      </c>
      <c r="G527" s="6" t="s">
        <v>12</v>
      </c>
      <c r="H527" s="8">
        <f t="shared" si="41"/>
        <v>4808348</v>
      </c>
      <c r="I527" s="9">
        <f t="shared" si="42"/>
        <v>55695</v>
      </c>
    </row>
    <row r="528" spans="1:9">
      <c r="A528" s="12">
        <v>46066</v>
      </c>
      <c r="B528" s="10" t="s">
        <v>167</v>
      </c>
      <c r="C528" s="27">
        <v>18592</v>
      </c>
      <c r="D528" s="11">
        <v>117</v>
      </c>
      <c r="E528" s="7">
        <f t="shared" si="40"/>
        <v>158.90598290598291</v>
      </c>
      <c r="F528" s="10">
        <v>1072</v>
      </c>
      <c r="G528" s="10" t="s">
        <v>47</v>
      </c>
      <c r="H528" s="8">
        <f t="shared" si="41"/>
        <v>4826940</v>
      </c>
      <c r="I528" s="9">
        <f t="shared" si="42"/>
        <v>55812</v>
      </c>
    </row>
    <row r="529" spans="1:9">
      <c r="A529" s="12">
        <v>46069</v>
      </c>
      <c r="B529" s="10" t="s">
        <v>168</v>
      </c>
      <c r="C529" s="27">
        <v>20171</v>
      </c>
      <c r="D529" s="11">
        <v>144</v>
      </c>
      <c r="E529" s="7">
        <f t="shared" si="40"/>
        <v>140.07638888888889</v>
      </c>
      <c r="F529" s="10">
        <v>1123</v>
      </c>
      <c r="G529" s="6" t="s">
        <v>12</v>
      </c>
      <c r="H529" s="8">
        <f t="shared" si="41"/>
        <v>4847111</v>
      </c>
      <c r="I529" s="9">
        <f t="shared" si="42"/>
        <v>55956</v>
      </c>
    </row>
    <row r="530" spans="1:9">
      <c r="A530" s="12">
        <v>46069</v>
      </c>
      <c r="B530" s="10" t="s">
        <v>168</v>
      </c>
      <c r="C530" s="27">
        <v>16545</v>
      </c>
      <c r="D530" s="11">
        <v>123</v>
      </c>
      <c r="E530" s="7">
        <f t="shared" si="40"/>
        <v>134.51219512195121</v>
      </c>
      <c r="F530" s="10">
        <v>1072</v>
      </c>
      <c r="G530" s="10" t="s">
        <v>47</v>
      </c>
      <c r="H530" s="8">
        <f t="shared" si="41"/>
        <v>4863656</v>
      </c>
      <c r="I530" s="9">
        <f t="shared" si="42"/>
        <v>56079</v>
      </c>
    </row>
    <row r="531" spans="1:9">
      <c r="A531" s="12">
        <v>46071</v>
      </c>
      <c r="B531" s="10" t="s">
        <v>167</v>
      </c>
      <c r="C531" s="27">
        <v>16413</v>
      </c>
      <c r="D531" s="11">
        <v>73</v>
      </c>
      <c r="E531" s="7">
        <f t="shared" si="40"/>
        <v>224.83561643835617</v>
      </c>
      <c r="F531" s="10">
        <v>1072</v>
      </c>
      <c r="G531" s="10" t="s">
        <v>47</v>
      </c>
      <c r="H531" s="8">
        <f t="shared" si="41"/>
        <v>4880069</v>
      </c>
      <c r="I531" s="9">
        <f t="shared" si="42"/>
        <v>56152</v>
      </c>
    </row>
    <row r="532" spans="1:9">
      <c r="A532" s="12">
        <v>46072</v>
      </c>
      <c r="B532" s="10" t="s">
        <v>167</v>
      </c>
      <c r="C532" s="27">
        <v>4303</v>
      </c>
      <c r="D532" s="11">
        <v>36</v>
      </c>
      <c r="E532" s="7">
        <f t="shared" si="40"/>
        <v>119.52777777777777</v>
      </c>
      <c r="F532" s="10">
        <v>1072</v>
      </c>
      <c r="G532" s="10" t="s">
        <v>47</v>
      </c>
      <c r="H532" s="8">
        <f t="shared" si="41"/>
        <v>4884372</v>
      </c>
      <c r="I532" s="9">
        <f t="shared" si="42"/>
        <v>56188</v>
      </c>
    </row>
    <row r="533" spans="1:9">
      <c r="A533" s="12">
        <v>46072</v>
      </c>
      <c r="B533" s="10" t="s">
        <v>169</v>
      </c>
      <c r="C533" s="27">
        <v>8544</v>
      </c>
      <c r="D533" s="11">
        <v>60</v>
      </c>
      <c r="E533" s="7">
        <f t="shared" si="40"/>
        <v>142.4</v>
      </c>
      <c r="F533" s="10">
        <v>1123</v>
      </c>
      <c r="G533" s="6" t="s">
        <v>12</v>
      </c>
      <c r="H533" s="8">
        <f t="shared" si="41"/>
        <v>4892916</v>
      </c>
      <c r="I533" s="9">
        <f t="shared" si="42"/>
        <v>56248</v>
      </c>
    </row>
    <row r="534" spans="1:9">
      <c r="A534" s="12">
        <v>46073</v>
      </c>
      <c r="B534" s="10" t="s">
        <v>169</v>
      </c>
      <c r="C534" s="27">
        <v>5491</v>
      </c>
      <c r="D534" s="11">
        <v>38</v>
      </c>
      <c r="E534" s="7">
        <f t="shared" si="40"/>
        <v>144.5</v>
      </c>
      <c r="F534" s="10">
        <v>1123</v>
      </c>
      <c r="G534" s="6" t="s">
        <v>12</v>
      </c>
      <c r="H534" s="8">
        <f t="shared" si="41"/>
        <v>4898407</v>
      </c>
      <c r="I534" s="9">
        <f t="shared" si="42"/>
        <v>56286</v>
      </c>
    </row>
    <row r="535" spans="1:9">
      <c r="A535" s="12">
        <v>46073</v>
      </c>
      <c r="B535" s="10" t="s">
        <v>169</v>
      </c>
      <c r="C535" s="27">
        <v>7211</v>
      </c>
      <c r="D535" s="11">
        <v>52</v>
      </c>
      <c r="E535" s="7">
        <f t="shared" si="40"/>
        <v>138.67307692307693</v>
      </c>
      <c r="F535" s="10">
        <v>1072</v>
      </c>
      <c r="G535" s="10" t="s">
        <v>146</v>
      </c>
      <c r="H535" s="8">
        <f t="shared" si="41"/>
        <v>4905618</v>
      </c>
      <c r="I535" s="9">
        <f t="shared" si="42"/>
        <v>56338</v>
      </c>
    </row>
    <row r="536" spans="1:9">
      <c r="A536" s="12">
        <v>46076</v>
      </c>
      <c r="B536" s="10" t="s">
        <v>170</v>
      </c>
      <c r="C536" s="27">
        <v>20410</v>
      </c>
      <c r="D536" s="11">
        <v>150</v>
      </c>
      <c r="E536" s="7">
        <f t="shared" si="40"/>
        <v>136.06666666666666</v>
      </c>
      <c r="F536" s="10">
        <v>1123</v>
      </c>
      <c r="G536" s="10" t="s">
        <v>12</v>
      </c>
      <c r="H536" s="8">
        <f t="shared" si="41"/>
        <v>4926028</v>
      </c>
      <c r="I536" s="9">
        <f t="shared" si="42"/>
        <v>56488</v>
      </c>
    </row>
    <row r="537" spans="1:9">
      <c r="A537" s="12">
        <v>46076</v>
      </c>
      <c r="B537" s="10" t="s">
        <v>170</v>
      </c>
      <c r="C537" s="27">
        <v>23363</v>
      </c>
      <c r="D537" s="11">
        <v>154</v>
      </c>
      <c r="E537" s="7">
        <f t="shared" si="40"/>
        <v>151.70779220779221</v>
      </c>
      <c r="F537" s="10">
        <v>1072</v>
      </c>
      <c r="G537" s="10" t="s">
        <v>47</v>
      </c>
      <c r="H537" s="8">
        <f t="shared" si="41"/>
        <v>4949391</v>
      </c>
      <c r="I537" s="9">
        <f t="shared" si="42"/>
        <v>56642</v>
      </c>
    </row>
    <row r="538" spans="1:9">
      <c r="A538" s="12">
        <v>46077</v>
      </c>
      <c r="B538" s="10" t="s">
        <v>170</v>
      </c>
      <c r="C538" s="27">
        <v>10086</v>
      </c>
      <c r="D538" s="11">
        <v>102</v>
      </c>
      <c r="E538" s="7">
        <f t="shared" si="40"/>
        <v>98.882352941176464</v>
      </c>
      <c r="F538" s="10">
        <v>1123</v>
      </c>
      <c r="G538" s="10" t="s">
        <v>12</v>
      </c>
      <c r="H538" s="8">
        <f t="shared" si="41"/>
        <v>4959477</v>
      </c>
      <c r="I538" s="9">
        <f t="shared" si="42"/>
        <v>56744</v>
      </c>
    </row>
    <row r="539" spans="1:9">
      <c r="A539" s="12">
        <v>46077</v>
      </c>
      <c r="B539" s="10" t="s">
        <v>170</v>
      </c>
      <c r="C539" s="27">
        <v>11250</v>
      </c>
      <c r="D539" s="11">
        <v>77</v>
      </c>
      <c r="E539" s="7">
        <f t="shared" si="40"/>
        <v>146.10389610389609</v>
      </c>
      <c r="F539" s="10">
        <v>1072</v>
      </c>
      <c r="G539" s="10" t="s">
        <v>47</v>
      </c>
      <c r="H539" s="8">
        <f t="shared" si="41"/>
        <v>4970727</v>
      </c>
      <c r="I539" s="9">
        <f t="shared" si="42"/>
        <v>56821</v>
      </c>
    </row>
    <row r="540" spans="1:9">
      <c r="A540" s="12">
        <v>46078</v>
      </c>
      <c r="B540" s="10" t="s">
        <v>170</v>
      </c>
      <c r="C540" s="27">
        <v>10022</v>
      </c>
      <c r="D540" s="11">
        <v>74</v>
      </c>
      <c r="E540" s="7">
        <f t="shared" si="40"/>
        <v>135.43243243243242</v>
      </c>
      <c r="F540" s="10">
        <v>1123</v>
      </c>
      <c r="G540" s="10" t="s">
        <v>12</v>
      </c>
      <c r="H540" s="8">
        <f t="shared" si="41"/>
        <v>4980749</v>
      </c>
      <c r="I540" s="9">
        <f t="shared" si="42"/>
        <v>56895</v>
      </c>
    </row>
    <row r="541" spans="1:9">
      <c r="A541" s="12">
        <v>46078</v>
      </c>
      <c r="B541" s="10" t="s">
        <v>170</v>
      </c>
      <c r="C541" s="27">
        <v>13897</v>
      </c>
      <c r="D541" s="11">
        <v>102</v>
      </c>
      <c r="E541" s="7">
        <f t="shared" si="40"/>
        <v>136.24509803921569</v>
      </c>
      <c r="F541" s="10">
        <v>1072</v>
      </c>
      <c r="G541" s="10" t="s">
        <v>47</v>
      </c>
      <c r="H541" s="8">
        <f t="shared" si="41"/>
        <v>4994646</v>
      </c>
      <c r="I541" s="9">
        <f t="shared" si="42"/>
        <v>56997</v>
      </c>
    </row>
    <row r="542" spans="1:9">
      <c r="A542" s="12">
        <v>46079</v>
      </c>
      <c r="B542" s="10" t="s">
        <v>171</v>
      </c>
      <c r="C542" s="27">
        <v>10509</v>
      </c>
      <c r="D542" s="11">
        <v>88</v>
      </c>
      <c r="E542" s="7">
        <f t="shared" si="40"/>
        <v>119.42045454545455</v>
      </c>
      <c r="F542" s="10">
        <v>1123</v>
      </c>
      <c r="G542" s="10" t="s">
        <v>146</v>
      </c>
      <c r="H542" s="8">
        <f t="shared" si="41"/>
        <v>5005155</v>
      </c>
      <c r="I542" s="9">
        <f t="shared" si="42"/>
        <v>57085</v>
      </c>
    </row>
    <row r="543" spans="1:9">
      <c r="A543" s="12">
        <v>46079</v>
      </c>
      <c r="B543" s="10" t="s">
        <v>171</v>
      </c>
      <c r="C543" s="27">
        <v>17000</v>
      </c>
      <c r="D543" s="11">
        <v>110</v>
      </c>
      <c r="E543" s="7">
        <f t="shared" si="40"/>
        <v>154.54545454545453</v>
      </c>
      <c r="F543" s="10">
        <v>1072</v>
      </c>
      <c r="G543" s="10" t="s">
        <v>47</v>
      </c>
      <c r="H543" s="8">
        <f t="shared" si="41"/>
        <v>5022155</v>
      </c>
      <c r="I543" s="9">
        <f t="shared" si="42"/>
        <v>57195</v>
      </c>
    </row>
    <row r="544" spans="1:9">
      <c r="A544" s="12">
        <v>46080</v>
      </c>
      <c r="B544" s="10" t="s">
        <v>171</v>
      </c>
      <c r="C544" s="27">
        <v>15033</v>
      </c>
      <c r="D544" s="11">
        <v>185</v>
      </c>
      <c r="E544" s="7">
        <f t="shared" ref="E544:E607" si="46">IF(D544&gt;0,(C544/D544),"*")</f>
        <v>81.259459459459464</v>
      </c>
      <c r="F544" s="10">
        <v>1072</v>
      </c>
      <c r="G544" s="10" t="s">
        <v>47</v>
      </c>
      <c r="H544" s="8">
        <f t="shared" ref="H544:H607" si="47">H543+C544</f>
        <v>5037188</v>
      </c>
      <c r="I544" s="9">
        <f t="shared" ref="I544:I607" si="48">I543+D544</f>
        <v>57380</v>
      </c>
    </row>
    <row r="545" spans="1:9">
      <c r="A545" s="12">
        <v>46080</v>
      </c>
      <c r="B545" s="10" t="s">
        <v>171</v>
      </c>
      <c r="C545" s="27">
        <v>10940</v>
      </c>
      <c r="D545" s="11">
        <v>170</v>
      </c>
      <c r="E545" s="7">
        <f t="shared" si="46"/>
        <v>64.352941176470594</v>
      </c>
      <c r="F545" s="10">
        <v>1123</v>
      </c>
      <c r="G545" s="10" t="s">
        <v>146</v>
      </c>
      <c r="H545" s="8">
        <f t="shared" si="47"/>
        <v>5048128</v>
      </c>
      <c r="I545" s="9">
        <f t="shared" si="48"/>
        <v>57550</v>
      </c>
    </row>
    <row r="546" spans="1:9">
      <c r="A546" s="12">
        <v>46083</v>
      </c>
      <c r="B546" s="10" t="s">
        <v>169</v>
      </c>
      <c r="C546" s="27">
        <v>17570</v>
      </c>
      <c r="D546" s="11">
        <v>118</v>
      </c>
      <c r="E546" s="7">
        <f t="shared" si="46"/>
        <v>148.89830508474577</v>
      </c>
      <c r="F546" s="10">
        <v>1072</v>
      </c>
      <c r="G546" s="10" t="s">
        <v>47</v>
      </c>
      <c r="H546" s="8">
        <f t="shared" si="47"/>
        <v>5065698</v>
      </c>
      <c r="I546" s="9">
        <f t="shared" si="48"/>
        <v>57668</v>
      </c>
    </row>
    <row r="547" spans="1:9">
      <c r="A547" s="12">
        <v>46084</v>
      </c>
      <c r="B547" s="10" t="s">
        <v>169</v>
      </c>
      <c r="C547" s="27">
        <v>2481</v>
      </c>
      <c r="D547" s="11">
        <v>19</v>
      </c>
      <c r="E547" s="7">
        <f t="shared" si="46"/>
        <v>130.57894736842104</v>
      </c>
      <c r="F547" s="10">
        <v>1123</v>
      </c>
      <c r="G547" s="10" t="s">
        <v>12</v>
      </c>
      <c r="H547" s="8">
        <f t="shared" si="47"/>
        <v>5068179</v>
      </c>
      <c r="I547" s="9">
        <f t="shared" si="48"/>
        <v>57687</v>
      </c>
    </row>
    <row r="548" spans="1:9">
      <c r="A548" s="12">
        <v>46084</v>
      </c>
      <c r="B548" s="10" t="s">
        <v>169</v>
      </c>
      <c r="C548" s="27">
        <v>3283</v>
      </c>
      <c r="D548" s="11">
        <v>26</v>
      </c>
      <c r="E548" s="7">
        <f t="shared" si="46"/>
        <v>126.26923076923077</v>
      </c>
      <c r="F548" s="10">
        <v>1072</v>
      </c>
      <c r="G548" s="10" t="s">
        <v>47</v>
      </c>
      <c r="H548" s="8">
        <f t="shared" si="47"/>
        <v>5071462</v>
      </c>
      <c r="I548" s="9">
        <f t="shared" si="48"/>
        <v>57713</v>
      </c>
    </row>
    <row r="549" spans="1:9">
      <c r="A549" s="12">
        <v>46084</v>
      </c>
      <c r="B549" s="10" t="s">
        <v>172</v>
      </c>
      <c r="C549" s="27">
        <v>7401</v>
      </c>
      <c r="D549" s="11">
        <v>57</v>
      </c>
      <c r="E549" s="7">
        <f t="shared" si="46"/>
        <v>129.84210526315789</v>
      </c>
      <c r="F549" s="10">
        <v>1123</v>
      </c>
      <c r="G549" s="10" t="s">
        <v>12</v>
      </c>
      <c r="H549" s="8">
        <f t="shared" si="47"/>
        <v>5078863</v>
      </c>
      <c r="I549" s="9">
        <f t="shared" si="48"/>
        <v>57770</v>
      </c>
    </row>
    <row r="550" spans="1:9">
      <c r="A550" s="12">
        <v>46085</v>
      </c>
      <c r="B550" s="10" t="s">
        <v>172</v>
      </c>
      <c r="C550" s="27">
        <v>19467</v>
      </c>
      <c r="D550" s="11">
        <v>154</v>
      </c>
      <c r="E550" s="7">
        <f t="shared" si="46"/>
        <v>126.40909090909091</v>
      </c>
      <c r="F550" s="10">
        <v>1072</v>
      </c>
      <c r="G550" s="10" t="s">
        <v>47</v>
      </c>
      <c r="H550" s="8">
        <f t="shared" si="47"/>
        <v>5098330</v>
      </c>
      <c r="I550" s="9">
        <f t="shared" si="48"/>
        <v>57924</v>
      </c>
    </row>
    <row r="551" spans="1:9">
      <c r="A551" s="12">
        <v>46085</v>
      </c>
      <c r="B551" s="10" t="s">
        <v>172</v>
      </c>
      <c r="C551" s="27">
        <v>17528</v>
      </c>
      <c r="D551" s="11">
        <v>137</v>
      </c>
      <c r="E551" s="7">
        <f t="shared" si="46"/>
        <v>127.94160583941606</v>
      </c>
      <c r="F551" s="10">
        <v>1123</v>
      </c>
      <c r="G551" s="10" t="s">
        <v>12</v>
      </c>
      <c r="H551" s="8">
        <f t="shared" si="47"/>
        <v>5115858</v>
      </c>
      <c r="I551" s="9">
        <f t="shared" si="48"/>
        <v>58061</v>
      </c>
    </row>
    <row r="552" spans="1:9">
      <c r="A552" s="12">
        <v>46086</v>
      </c>
      <c r="B552" s="10" t="s">
        <v>172</v>
      </c>
      <c r="C552" s="27">
        <v>23666</v>
      </c>
      <c r="D552" s="11">
        <v>185</v>
      </c>
      <c r="E552" s="7">
        <f t="shared" si="46"/>
        <v>127.92432432432433</v>
      </c>
      <c r="F552" s="10">
        <v>1072</v>
      </c>
      <c r="G552" s="10" t="s">
        <v>47</v>
      </c>
      <c r="H552" s="8">
        <f t="shared" si="47"/>
        <v>5139524</v>
      </c>
      <c r="I552" s="9">
        <f t="shared" si="48"/>
        <v>58246</v>
      </c>
    </row>
    <row r="553" spans="1:9">
      <c r="A553" s="12">
        <v>46086</v>
      </c>
      <c r="B553" s="10" t="s">
        <v>172</v>
      </c>
      <c r="C553" s="27">
        <v>1863</v>
      </c>
      <c r="D553" s="11">
        <v>18</v>
      </c>
      <c r="E553" s="7">
        <f t="shared" si="46"/>
        <v>103.5</v>
      </c>
      <c r="F553" s="10">
        <v>1123</v>
      </c>
      <c r="G553" s="10" t="s">
        <v>12</v>
      </c>
      <c r="H553" s="8">
        <f t="shared" si="47"/>
        <v>5141387</v>
      </c>
      <c r="I553" s="9">
        <f t="shared" si="48"/>
        <v>58264</v>
      </c>
    </row>
    <row r="554" spans="1:9">
      <c r="A554" s="12">
        <v>46087</v>
      </c>
      <c r="B554" s="10" t="s">
        <v>173</v>
      </c>
      <c r="C554" s="27">
        <v>11770</v>
      </c>
      <c r="D554" s="11">
        <v>86</v>
      </c>
      <c r="E554" s="7">
        <f t="shared" si="46"/>
        <v>136.86046511627907</v>
      </c>
      <c r="F554" s="10">
        <v>1072</v>
      </c>
      <c r="G554" s="10" t="s">
        <v>47</v>
      </c>
      <c r="H554" s="8">
        <f t="shared" si="47"/>
        <v>5153157</v>
      </c>
      <c r="I554" s="9">
        <f t="shared" si="48"/>
        <v>58350</v>
      </c>
    </row>
    <row r="555" spans="1:9">
      <c r="A555" s="12">
        <v>46087</v>
      </c>
      <c r="B555" s="10" t="s">
        <v>173</v>
      </c>
      <c r="C555" s="27">
        <v>10386</v>
      </c>
      <c r="D555" s="11">
        <v>71</v>
      </c>
      <c r="E555" s="7">
        <f t="shared" si="46"/>
        <v>146.28169014084506</v>
      </c>
      <c r="F555" s="10">
        <v>1123</v>
      </c>
      <c r="G555" s="10" t="s">
        <v>12</v>
      </c>
      <c r="H555" s="8">
        <f t="shared" si="47"/>
        <v>5163543</v>
      </c>
      <c r="I555" s="9">
        <f t="shared" si="48"/>
        <v>58421</v>
      </c>
    </row>
    <row r="556" spans="1:9">
      <c r="A556" s="12">
        <v>46090</v>
      </c>
      <c r="B556" s="10" t="s">
        <v>174</v>
      </c>
      <c r="C556" s="27">
        <v>11426</v>
      </c>
      <c r="D556" s="11">
        <v>87</v>
      </c>
      <c r="E556" s="7">
        <f t="shared" si="46"/>
        <v>131.33333333333334</v>
      </c>
      <c r="F556" s="10">
        <v>1072</v>
      </c>
      <c r="G556" s="10" t="s">
        <v>47</v>
      </c>
      <c r="H556" s="8">
        <f t="shared" si="47"/>
        <v>5174969</v>
      </c>
      <c r="I556" s="9">
        <f t="shared" si="48"/>
        <v>58508</v>
      </c>
    </row>
    <row r="557" spans="1:9">
      <c r="A557" s="12">
        <v>46090</v>
      </c>
      <c r="B557" s="10" t="s">
        <v>174</v>
      </c>
      <c r="C557" s="27">
        <v>17812</v>
      </c>
      <c r="D557" s="11">
        <v>160</v>
      </c>
      <c r="E557" s="7">
        <f t="shared" si="46"/>
        <v>111.325</v>
      </c>
      <c r="F557" s="10">
        <v>1123</v>
      </c>
      <c r="G557" s="10" t="s">
        <v>12</v>
      </c>
      <c r="H557" s="8">
        <f t="shared" si="47"/>
        <v>5192781</v>
      </c>
      <c r="I557" s="9">
        <f t="shared" si="48"/>
        <v>58668</v>
      </c>
    </row>
    <row r="558" spans="1:9">
      <c r="A558" s="12">
        <v>46091</v>
      </c>
      <c r="B558" s="10" t="s">
        <v>174</v>
      </c>
      <c r="C558" s="27">
        <v>7413</v>
      </c>
      <c r="D558" s="11">
        <v>62</v>
      </c>
      <c r="E558" s="7">
        <f t="shared" si="46"/>
        <v>119.56451612903226</v>
      </c>
      <c r="F558" s="10">
        <v>1123</v>
      </c>
      <c r="G558" s="10" t="s">
        <v>12</v>
      </c>
      <c r="H558" s="8">
        <f t="shared" si="47"/>
        <v>5200194</v>
      </c>
      <c r="I558" s="9">
        <f t="shared" si="48"/>
        <v>58730</v>
      </c>
    </row>
    <row r="559" spans="1:9">
      <c r="A559" s="12">
        <v>46091</v>
      </c>
      <c r="B559" s="10" t="s">
        <v>174</v>
      </c>
      <c r="C559" s="27">
        <v>6367</v>
      </c>
      <c r="D559" s="11">
        <v>38</v>
      </c>
      <c r="E559" s="7">
        <f t="shared" si="46"/>
        <v>167.55263157894737</v>
      </c>
      <c r="F559" s="10">
        <v>1072</v>
      </c>
      <c r="G559" s="10" t="s">
        <v>47</v>
      </c>
      <c r="H559" s="8">
        <f t="shared" si="47"/>
        <v>5206561</v>
      </c>
      <c r="I559" s="9">
        <f t="shared" si="48"/>
        <v>58768</v>
      </c>
    </row>
    <row r="560" spans="1:9">
      <c r="A560" s="12">
        <v>46091</v>
      </c>
      <c r="B560" s="10" t="s">
        <v>173</v>
      </c>
      <c r="C560" s="27">
        <v>9819</v>
      </c>
      <c r="D560" s="11">
        <v>67</v>
      </c>
      <c r="E560" s="7">
        <f t="shared" si="46"/>
        <v>146.55223880597015</v>
      </c>
      <c r="F560" s="10">
        <v>1123</v>
      </c>
      <c r="G560" s="10" t="s">
        <v>12</v>
      </c>
      <c r="H560" s="8">
        <f t="shared" si="47"/>
        <v>5216380</v>
      </c>
      <c r="I560" s="9">
        <f t="shared" si="48"/>
        <v>58835</v>
      </c>
    </row>
    <row r="561" spans="1:9">
      <c r="A561" s="12">
        <v>46092</v>
      </c>
      <c r="B561" s="10" t="s">
        <v>173</v>
      </c>
      <c r="C561" s="27">
        <v>17256</v>
      </c>
      <c r="D561" s="11">
        <v>128</v>
      </c>
      <c r="E561" s="7">
        <f t="shared" si="46"/>
        <v>134.8125</v>
      </c>
      <c r="F561" s="10">
        <v>1123</v>
      </c>
      <c r="G561" s="10" t="s">
        <v>12</v>
      </c>
      <c r="H561" s="8">
        <f t="shared" si="47"/>
        <v>5233636</v>
      </c>
      <c r="I561" s="9">
        <f t="shared" si="48"/>
        <v>58963</v>
      </c>
    </row>
    <row r="562" spans="1:9">
      <c r="A562" s="12">
        <v>46092</v>
      </c>
      <c r="B562" s="10" t="s">
        <v>173</v>
      </c>
      <c r="C562" s="27">
        <v>11826</v>
      </c>
      <c r="D562" s="11">
        <v>85</v>
      </c>
      <c r="E562" s="7">
        <f t="shared" si="46"/>
        <v>139.12941176470588</v>
      </c>
      <c r="F562" s="10">
        <v>1072</v>
      </c>
      <c r="G562" s="10" t="s">
        <v>47</v>
      </c>
      <c r="H562" s="8">
        <f t="shared" si="47"/>
        <v>5245462</v>
      </c>
      <c r="I562" s="9">
        <f t="shared" si="48"/>
        <v>59048</v>
      </c>
    </row>
    <row r="563" spans="1:9">
      <c r="A563" s="12">
        <v>46093</v>
      </c>
      <c r="B563" s="10" t="s">
        <v>173</v>
      </c>
      <c r="C563" s="27">
        <v>26012</v>
      </c>
      <c r="D563" s="11">
        <v>187</v>
      </c>
      <c r="E563" s="7">
        <f t="shared" si="46"/>
        <v>139.10160427807486</v>
      </c>
      <c r="F563" s="10">
        <v>1123</v>
      </c>
      <c r="G563" s="10" t="s">
        <v>12</v>
      </c>
      <c r="H563" s="8">
        <f t="shared" si="47"/>
        <v>5271474</v>
      </c>
      <c r="I563" s="9">
        <f t="shared" si="48"/>
        <v>59235</v>
      </c>
    </row>
    <row r="564" spans="1:9">
      <c r="A564" s="12">
        <v>46093</v>
      </c>
      <c r="B564" s="10" t="s">
        <v>173</v>
      </c>
      <c r="C564" s="27">
        <v>1159</v>
      </c>
      <c r="D564" s="11">
        <v>12</v>
      </c>
      <c r="E564" s="7">
        <f t="shared" si="46"/>
        <v>96.583333333333329</v>
      </c>
      <c r="F564" s="10">
        <v>1072</v>
      </c>
      <c r="G564" s="10" t="s">
        <v>47</v>
      </c>
      <c r="H564" s="8">
        <f t="shared" si="47"/>
        <v>5272633</v>
      </c>
      <c r="I564" s="9">
        <f t="shared" si="48"/>
        <v>59247</v>
      </c>
    </row>
    <row r="565" spans="1:9">
      <c r="A565" s="12">
        <v>46094</v>
      </c>
      <c r="B565" s="10" t="s">
        <v>175</v>
      </c>
      <c r="C565" s="27">
        <v>10416</v>
      </c>
      <c r="D565" s="11">
        <v>72</v>
      </c>
      <c r="E565" s="7">
        <f t="shared" si="46"/>
        <v>144.66666666666666</v>
      </c>
      <c r="F565" s="10">
        <v>1123</v>
      </c>
      <c r="G565" s="10" t="s">
        <v>12</v>
      </c>
      <c r="H565" s="8">
        <f t="shared" si="47"/>
        <v>5283049</v>
      </c>
      <c r="I565" s="9">
        <f t="shared" si="48"/>
        <v>59319</v>
      </c>
    </row>
    <row r="566" spans="1:9">
      <c r="A566" s="12">
        <v>46094</v>
      </c>
      <c r="B566" s="10" t="s">
        <v>175</v>
      </c>
      <c r="C566" s="27">
        <v>5105</v>
      </c>
      <c r="D566" s="11">
        <v>34</v>
      </c>
      <c r="E566" s="7">
        <f t="shared" si="46"/>
        <v>150.14705882352942</v>
      </c>
      <c r="F566" s="10">
        <v>1072</v>
      </c>
      <c r="G566" s="10" t="s">
        <v>47</v>
      </c>
      <c r="H566" s="8">
        <f t="shared" si="47"/>
        <v>5288154</v>
      </c>
      <c r="I566" s="9">
        <f t="shared" si="48"/>
        <v>59353</v>
      </c>
    </row>
    <row r="567" spans="1:9">
      <c r="A567" s="12">
        <v>46095</v>
      </c>
      <c r="B567" s="10" t="s">
        <v>175</v>
      </c>
      <c r="C567" s="27">
        <v>5300</v>
      </c>
      <c r="D567" s="11">
        <v>51</v>
      </c>
      <c r="E567" s="7">
        <f t="shared" si="46"/>
        <v>103.92156862745098</v>
      </c>
      <c r="F567" s="10">
        <v>1123</v>
      </c>
      <c r="G567" s="10" t="s">
        <v>12</v>
      </c>
      <c r="H567" s="8">
        <f t="shared" si="47"/>
        <v>5293454</v>
      </c>
      <c r="I567" s="9">
        <f t="shared" si="48"/>
        <v>59404</v>
      </c>
    </row>
    <row r="568" spans="1:9">
      <c r="A568" s="12">
        <v>46095</v>
      </c>
      <c r="B568" s="10" t="s">
        <v>175</v>
      </c>
      <c r="C568" s="27">
        <v>6690</v>
      </c>
      <c r="D568" s="11">
        <v>79</v>
      </c>
      <c r="E568" s="7">
        <f t="shared" si="46"/>
        <v>84.683544303797461</v>
      </c>
      <c r="F568" s="10">
        <v>1072</v>
      </c>
      <c r="G568" s="10" t="s">
        <v>47</v>
      </c>
      <c r="H568" s="8">
        <f t="shared" si="47"/>
        <v>5300144</v>
      </c>
      <c r="I568" s="9">
        <f t="shared" si="48"/>
        <v>59483</v>
      </c>
    </row>
    <row r="569" spans="1:9">
      <c r="A569" s="12">
        <v>46097</v>
      </c>
      <c r="B569" s="10" t="s">
        <v>176</v>
      </c>
      <c r="C569" s="27">
        <v>26323</v>
      </c>
      <c r="D569" s="11">
        <v>178</v>
      </c>
      <c r="E569" s="7">
        <f t="shared" si="46"/>
        <v>147.88202247191012</v>
      </c>
      <c r="F569" s="10">
        <v>1123</v>
      </c>
      <c r="G569" s="10" t="s">
        <v>12</v>
      </c>
      <c r="H569" s="8">
        <f t="shared" si="47"/>
        <v>5326467</v>
      </c>
      <c r="I569" s="9">
        <f t="shared" si="48"/>
        <v>59661</v>
      </c>
    </row>
    <row r="570" spans="1:9">
      <c r="A570" s="12">
        <v>46097</v>
      </c>
      <c r="B570" s="10" t="s">
        <v>176</v>
      </c>
      <c r="C570" s="27">
        <v>23600</v>
      </c>
      <c r="D570" s="11">
        <v>152</v>
      </c>
      <c r="E570" s="7">
        <f t="shared" si="46"/>
        <v>155.26315789473685</v>
      </c>
      <c r="F570" s="10">
        <v>1072</v>
      </c>
      <c r="G570" s="10" t="s">
        <v>146</v>
      </c>
      <c r="H570" s="8">
        <f t="shared" si="47"/>
        <v>5350067</v>
      </c>
      <c r="I570" s="9">
        <f t="shared" si="48"/>
        <v>59813</v>
      </c>
    </row>
    <row r="571" spans="1:9">
      <c r="A571" s="12">
        <v>46098</v>
      </c>
      <c r="B571" s="10" t="s">
        <v>176</v>
      </c>
      <c r="C571" s="27">
        <v>18548</v>
      </c>
      <c r="D571" s="11">
        <v>138</v>
      </c>
      <c r="E571" s="7">
        <f t="shared" si="46"/>
        <v>134.40579710144928</v>
      </c>
      <c r="F571" s="10">
        <v>1123</v>
      </c>
      <c r="G571" s="10" t="s">
        <v>12</v>
      </c>
      <c r="H571" s="8">
        <f t="shared" si="47"/>
        <v>5368615</v>
      </c>
      <c r="I571" s="9">
        <f t="shared" si="48"/>
        <v>59951</v>
      </c>
    </row>
    <row r="572" spans="1:9">
      <c r="A572" s="12">
        <v>46098</v>
      </c>
      <c r="B572" s="10" t="s">
        <v>176</v>
      </c>
      <c r="C572" s="27">
        <v>12785</v>
      </c>
      <c r="D572" s="11">
        <v>92</v>
      </c>
      <c r="E572" s="7">
        <f t="shared" si="46"/>
        <v>138.96739130434781</v>
      </c>
      <c r="F572" s="10">
        <v>1072</v>
      </c>
      <c r="G572" s="10" t="s">
        <v>146</v>
      </c>
      <c r="H572" s="8">
        <f t="shared" si="47"/>
        <v>5381400</v>
      </c>
      <c r="I572" s="9">
        <f t="shared" si="48"/>
        <v>60043</v>
      </c>
    </row>
    <row r="573" spans="1:9">
      <c r="A573" s="12">
        <v>46098</v>
      </c>
      <c r="B573" s="10" t="s">
        <v>177</v>
      </c>
      <c r="C573" s="27">
        <v>3838</v>
      </c>
      <c r="D573" s="11">
        <v>60</v>
      </c>
      <c r="E573" s="7">
        <f t="shared" si="46"/>
        <v>63.966666666666669</v>
      </c>
      <c r="F573" s="10">
        <v>1072</v>
      </c>
      <c r="G573" s="10" t="s">
        <v>146</v>
      </c>
      <c r="H573" s="8">
        <f t="shared" si="47"/>
        <v>5385238</v>
      </c>
      <c r="I573" s="9">
        <f t="shared" si="48"/>
        <v>60103</v>
      </c>
    </row>
    <row r="574" spans="1:9">
      <c r="A574" s="12">
        <v>46099</v>
      </c>
      <c r="B574" s="10" t="s">
        <v>175</v>
      </c>
      <c r="C574" s="27">
        <v>3527</v>
      </c>
      <c r="D574" s="11">
        <v>21</v>
      </c>
      <c r="E574" s="7">
        <f t="shared" si="46"/>
        <v>167.95238095238096</v>
      </c>
      <c r="F574" s="10">
        <v>1123</v>
      </c>
      <c r="G574" s="10" t="s">
        <v>47</v>
      </c>
      <c r="H574" s="8">
        <f t="shared" si="47"/>
        <v>5388765</v>
      </c>
      <c r="I574" s="9">
        <f t="shared" si="48"/>
        <v>60124</v>
      </c>
    </row>
    <row r="575" spans="1:9">
      <c r="A575" s="12">
        <v>46099</v>
      </c>
      <c r="B575" s="10" t="s">
        <v>175</v>
      </c>
      <c r="C575" s="27">
        <v>11213</v>
      </c>
      <c r="D575" s="11">
        <v>78</v>
      </c>
      <c r="E575" s="7">
        <f t="shared" si="46"/>
        <v>143.75641025641025</v>
      </c>
      <c r="F575" s="10">
        <v>1072</v>
      </c>
      <c r="G575" s="10" t="s">
        <v>146</v>
      </c>
      <c r="H575" s="8">
        <f t="shared" si="47"/>
        <v>5399978</v>
      </c>
      <c r="I575" s="9">
        <f t="shared" si="48"/>
        <v>60202</v>
      </c>
    </row>
    <row r="576" spans="1:9">
      <c r="A576" s="12">
        <v>46099</v>
      </c>
      <c r="B576" s="10" t="s">
        <v>177</v>
      </c>
      <c r="C576" s="27">
        <v>865</v>
      </c>
      <c r="D576" s="11">
        <v>37</v>
      </c>
      <c r="E576" s="7">
        <f t="shared" si="46"/>
        <v>23.378378378378379</v>
      </c>
      <c r="F576" s="10">
        <v>1072</v>
      </c>
      <c r="G576" s="10" t="s">
        <v>146</v>
      </c>
      <c r="H576" s="8">
        <f t="shared" si="47"/>
        <v>5400843</v>
      </c>
      <c r="I576" s="9">
        <f t="shared" si="48"/>
        <v>60239</v>
      </c>
    </row>
    <row r="577" spans="1:9">
      <c r="A577" s="12">
        <v>46100</v>
      </c>
      <c r="B577" s="10" t="s">
        <v>178</v>
      </c>
      <c r="C577" s="27">
        <v>19175</v>
      </c>
      <c r="D577" s="11">
        <v>129</v>
      </c>
      <c r="E577" s="7">
        <f t="shared" si="46"/>
        <v>148.64341085271317</v>
      </c>
      <c r="F577" s="10">
        <v>1072</v>
      </c>
      <c r="G577" s="10" t="s">
        <v>146</v>
      </c>
      <c r="H577" s="8">
        <f t="shared" si="47"/>
        <v>5420018</v>
      </c>
      <c r="I577" s="9">
        <f t="shared" si="48"/>
        <v>60368</v>
      </c>
    </row>
    <row r="578" spans="1:9">
      <c r="A578" s="12">
        <v>46100</v>
      </c>
      <c r="B578" s="10" t="s">
        <v>178</v>
      </c>
      <c r="C578" s="27">
        <v>10642</v>
      </c>
      <c r="D578" s="11">
        <v>72</v>
      </c>
      <c r="E578" s="7">
        <f t="shared" si="46"/>
        <v>147.80555555555554</v>
      </c>
      <c r="F578" s="10">
        <v>1123</v>
      </c>
      <c r="G578" s="10" t="s">
        <v>12</v>
      </c>
      <c r="H578" s="8">
        <f t="shared" si="47"/>
        <v>5430660</v>
      </c>
      <c r="I578" s="9">
        <f t="shared" si="48"/>
        <v>60440</v>
      </c>
    </row>
    <row r="579" spans="1:9">
      <c r="A579" s="12">
        <v>46101</v>
      </c>
      <c r="B579" s="10" t="s">
        <v>179</v>
      </c>
      <c r="C579" s="27">
        <v>9334</v>
      </c>
      <c r="D579" s="11">
        <v>62</v>
      </c>
      <c r="E579" s="7">
        <f t="shared" si="46"/>
        <v>150.54838709677421</v>
      </c>
      <c r="F579" s="10">
        <v>1072</v>
      </c>
      <c r="G579" s="10" t="s">
        <v>146</v>
      </c>
      <c r="H579" s="8">
        <f t="shared" si="47"/>
        <v>5439994</v>
      </c>
      <c r="I579" s="9">
        <f t="shared" si="48"/>
        <v>60502</v>
      </c>
    </row>
    <row r="580" spans="1:9">
      <c r="A580" s="12">
        <v>46102</v>
      </c>
      <c r="B580" s="10" t="s">
        <v>179</v>
      </c>
      <c r="C580" s="27">
        <v>2254</v>
      </c>
      <c r="D580" s="11">
        <v>15</v>
      </c>
      <c r="E580" s="7">
        <f t="shared" si="46"/>
        <v>150.26666666666668</v>
      </c>
      <c r="F580" s="10">
        <v>1123</v>
      </c>
      <c r="G580" s="10" t="s">
        <v>12</v>
      </c>
      <c r="H580" s="8">
        <f t="shared" si="47"/>
        <v>5442248</v>
      </c>
      <c r="I580" s="9">
        <f t="shared" si="48"/>
        <v>60517</v>
      </c>
    </row>
    <row r="581" spans="1:9">
      <c r="A581" s="12">
        <v>46102</v>
      </c>
      <c r="B581" s="10" t="s">
        <v>179</v>
      </c>
      <c r="C581" s="27">
        <v>11506</v>
      </c>
      <c r="D581" s="11">
        <v>75</v>
      </c>
      <c r="E581" s="7">
        <f t="shared" si="46"/>
        <v>153.41333333333333</v>
      </c>
      <c r="F581" s="10">
        <v>1072</v>
      </c>
      <c r="G581" s="10" t="s">
        <v>47</v>
      </c>
      <c r="H581" s="8">
        <f t="shared" si="47"/>
        <v>5453754</v>
      </c>
      <c r="I581" s="9">
        <f t="shared" si="48"/>
        <v>60592</v>
      </c>
    </row>
    <row r="582" spans="1:9">
      <c r="A582" s="12">
        <v>46104</v>
      </c>
      <c r="B582" s="10" t="s">
        <v>179</v>
      </c>
      <c r="C582" s="27">
        <v>10271</v>
      </c>
      <c r="D582" s="11">
        <v>70</v>
      </c>
      <c r="E582" s="7">
        <f t="shared" si="46"/>
        <v>146.72857142857143</v>
      </c>
      <c r="F582" s="10">
        <v>1123</v>
      </c>
      <c r="G582" s="10" t="s">
        <v>12</v>
      </c>
      <c r="H582" s="8">
        <f t="shared" si="47"/>
        <v>5464025</v>
      </c>
      <c r="I582" s="9">
        <f t="shared" si="48"/>
        <v>60662</v>
      </c>
    </row>
    <row r="583" spans="1:9">
      <c r="A583" s="12">
        <v>46104</v>
      </c>
      <c r="B583" s="10" t="s">
        <v>179</v>
      </c>
      <c r="C583" s="27">
        <v>19035</v>
      </c>
      <c r="D583" s="11">
        <v>127</v>
      </c>
      <c r="E583" s="7">
        <f t="shared" si="46"/>
        <v>149.88188976377953</v>
      </c>
      <c r="F583" s="10">
        <v>1072</v>
      </c>
      <c r="G583" s="10" t="s">
        <v>146</v>
      </c>
      <c r="H583" s="8">
        <f t="shared" si="47"/>
        <v>5483060</v>
      </c>
      <c r="I583" s="9">
        <f t="shared" si="48"/>
        <v>60789</v>
      </c>
    </row>
    <row r="584" spans="1:9">
      <c r="A584" s="12">
        <v>46105</v>
      </c>
      <c r="B584" s="10" t="s">
        <v>179</v>
      </c>
      <c r="C584" s="27">
        <v>19851</v>
      </c>
      <c r="D584" s="11">
        <v>146</v>
      </c>
      <c r="E584" s="7">
        <f t="shared" si="46"/>
        <v>135.96575342465752</v>
      </c>
      <c r="F584" s="10">
        <v>1123</v>
      </c>
      <c r="G584" s="10" t="s">
        <v>12</v>
      </c>
      <c r="H584" s="8">
        <f t="shared" si="47"/>
        <v>5502911</v>
      </c>
      <c r="I584" s="9">
        <f t="shared" si="48"/>
        <v>60935</v>
      </c>
    </row>
    <row r="585" spans="1:9">
      <c r="A585" s="12">
        <v>46105</v>
      </c>
      <c r="B585" s="10" t="s">
        <v>179</v>
      </c>
      <c r="C585" s="27">
        <v>15479</v>
      </c>
      <c r="D585" s="11">
        <v>106</v>
      </c>
      <c r="E585" s="7">
        <f t="shared" si="46"/>
        <v>146.02830188679246</v>
      </c>
      <c r="F585" s="10">
        <v>1072</v>
      </c>
      <c r="G585" s="10" t="s">
        <v>146</v>
      </c>
      <c r="H585" s="8">
        <f t="shared" si="47"/>
        <v>5518390</v>
      </c>
      <c r="I585" s="9">
        <f t="shared" si="48"/>
        <v>61041</v>
      </c>
    </row>
    <row r="586" spans="1:9">
      <c r="A586" s="12">
        <v>46106</v>
      </c>
      <c r="B586" s="10" t="s">
        <v>178</v>
      </c>
      <c r="C586" s="27">
        <v>15819</v>
      </c>
      <c r="D586" s="11">
        <v>124</v>
      </c>
      <c r="E586" s="7">
        <f t="shared" si="46"/>
        <v>127.5725806451613</v>
      </c>
      <c r="F586" s="10">
        <v>1072</v>
      </c>
      <c r="G586" s="10" t="s">
        <v>146</v>
      </c>
      <c r="H586" s="8">
        <f t="shared" si="47"/>
        <v>5534209</v>
      </c>
      <c r="I586" s="9">
        <f t="shared" si="48"/>
        <v>61165</v>
      </c>
    </row>
    <row r="587" spans="1:9">
      <c r="A587" s="12">
        <v>46107</v>
      </c>
      <c r="B587" s="10" t="s">
        <v>178</v>
      </c>
      <c r="C587" s="27">
        <v>20620</v>
      </c>
      <c r="D587" s="11">
        <v>152</v>
      </c>
      <c r="E587" s="7">
        <f t="shared" ref="E587" si="49">IF(D587&gt;0,(C587/D587),"*")</f>
        <v>135.65789473684211</v>
      </c>
      <c r="F587" s="10">
        <v>1123</v>
      </c>
      <c r="G587" s="10" t="s">
        <v>12</v>
      </c>
      <c r="H587" s="8">
        <f t="shared" si="47"/>
        <v>5554829</v>
      </c>
      <c r="I587" s="9">
        <f t="shared" si="48"/>
        <v>61317</v>
      </c>
    </row>
    <row r="588" spans="1:9">
      <c r="A588" s="12">
        <v>46107</v>
      </c>
      <c r="B588" s="10" t="s">
        <v>178</v>
      </c>
      <c r="C588" s="27">
        <v>17037</v>
      </c>
      <c r="D588" s="11">
        <v>133</v>
      </c>
      <c r="E588" s="7">
        <f t="shared" si="46"/>
        <v>128.09774436090225</v>
      </c>
      <c r="F588" s="10">
        <v>1072</v>
      </c>
      <c r="G588" s="10" t="s">
        <v>146</v>
      </c>
      <c r="H588" s="8">
        <f t="shared" si="47"/>
        <v>5571866</v>
      </c>
      <c r="I588" s="9">
        <f t="shared" si="48"/>
        <v>61450</v>
      </c>
    </row>
    <row r="589" spans="1:9">
      <c r="A589" s="12">
        <v>46108</v>
      </c>
      <c r="B589" s="10" t="s">
        <v>178</v>
      </c>
      <c r="C589" s="27">
        <v>7600</v>
      </c>
      <c r="D589" s="11">
        <v>51</v>
      </c>
      <c r="E589" s="7">
        <f t="shared" si="46"/>
        <v>149.01960784313727</v>
      </c>
      <c r="F589" s="10">
        <v>1123</v>
      </c>
      <c r="G589" s="10" t="s">
        <v>12</v>
      </c>
      <c r="H589" s="8">
        <f t="shared" si="47"/>
        <v>5579466</v>
      </c>
      <c r="I589" s="9">
        <f t="shared" si="48"/>
        <v>61501</v>
      </c>
    </row>
    <row r="590" spans="1:9">
      <c r="A590" s="12">
        <v>46108</v>
      </c>
      <c r="B590" s="10" t="s">
        <v>178</v>
      </c>
      <c r="C590" s="27">
        <v>5900</v>
      </c>
      <c r="D590" s="11">
        <v>47</v>
      </c>
      <c r="E590" s="7">
        <f t="shared" si="46"/>
        <v>125.53191489361703</v>
      </c>
      <c r="F590" s="10">
        <v>1072</v>
      </c>
      <c r="G590" s="10" t="s">
        <v>146</v>
      </c>
      <c r="H590" s="8">
        <f t="shared" si="47"/>
        <v>5585366</v>
      </c>
      <c r="I590" s="9">
        <f t="shared" si="48"/>
        <v>61548</v>
      </c>
    </row>
    <row r="591" spans="1:9">
      <c r="A591" s="12">
        <v>46111</v>
      </c>
      <c r="B591" s="10" t="s">
        <v>180</v>
      </c>
      <c r="C591" s="27">
        <v>2225</v>
      </c>
      <c r="D591" s="11">
        <v>19</v>
      </c>
      <c r="E591" s="7">
        <f t="shared" si="46"/>
        <v>117.10526315789474</v>
      </c>
      <c r="F591" s="10">
        <v>1072</v>
      </c>
      <c r="G591" s="10" t="s">
        <v>146</v>
      </c>
      <c r="H591" s="8">
        <f t="shared" si="47"/>
        <v>5587591</v>
      </c>
      <c r="I591" s="9">
        <f t="shared" si="48"/>
        <v>61567</v>
      </c>
    </row>
    <row r="592" spans="1:9">
      <c r="A592" s="12">
        <v>46111</v>
      </c>
      <c r="B592" s="10" t="s">
        <v>180</v>
      </c>
      <c r="C592" s="27">
        <v>9341</v>
      </c>
      <c r="D592" s="11">
        <v>74</v>
      </c>
      <c r="E592" s="7">
        <f t="shared" si="46"/>
        <v>126.22972972972973</v>
      </c>
      <c r="F592" s="10">
        <v>1123</v>
      </c>
      <c r="G592" s="10" t="s">
        <v>12</v>
      </c>
      <c r="H592" s="8">
        <f t="shared" si="47"/>
        <v>5596932</v>
      </c>
      <c r="I592" s="9">
        <f t="shared" si="48"/>
        <v>61641</v>
      </c>
    </row>
    <row r="593" spans="1:9">
      <c r="A593" s="12">
        <v>46112</v>
      </c>
      <c r="B593" s="10" t="s">
        <v>180</v>
      </c>
      <c r="C593" s="27">
        <v>11000</v>
      </c>
      <c r="D593" s="11">
        <v>91</v>
      </c>
      <c r="E593" s="7">
        <f t="shared" si="46"/>
        <v>120.87912087912088</v>
      </c>
      <c r="F593" s="10">
        <v>1072</v>
      </c>
      <c r="G593" s="10" t="s">
        <v>146</v>
      </c>
      <c r="H593" s="8">
        <f t="shared" si="47"/>
        <v>5607932</v>
      </c>
      <c r="I593" s="9">
        <f t="shared" si="48"/>
        <v>61732</v>
      </c>
    </row>
    <row r="594" spans="1:9">
      <c r="A594" s="12">
        <v>46112</v>
      </c>
      <c r="B594" s="10" t="s">
        <v>180</v>
      </c>
      <c r="C594" s="27">
        <v>9500</v>
      </c>
      <c r="D594" s="11">
        <v>76</v>
      </c>
      <c r="E594" s="7">
        <f t="shared" si="46"/>
        <v>125</v>
      </c>
      <c r="F594" s="10">
        <v>1123</v>
      </c>
      <c r="G594" s="10" t="s">
        <v>12</v>
      </c>
      <c r="H594" s="8">
        <f t="shared" si="47"/>
        <v>5617432</v>
      </c>
      <c r="I594" s="9">
        <f t="shared" si="48"/>
        <v>61808</v>
      </c>
    </row>
    <row r="595" spans="1:9">
      <c r="A595" s="12">
        <v>46112</v>
      </c>
      <c r="B595" s="10" t="s">
        <v>181</v>
      </c>
      <c r="C595" s="27">
        <v>2970</v>
      </c>
      <c r="D595" s="11">
        <v>61</v>
      </c>
      <c r="E595" s="7">
        <f t="shared" si="46"/>
        <v>48.688524590163937</v>
      </c>
      <c r="F595" s="10">
        <v>1072</v>
      </c>
      <c r="G595" s="10" t="s">
        <v>146</v>
      </c>
      <c r="H595" s="8">
        <f t="shared" si="47"/>
        <v>5620402</v>
      </c>
      <c r="I595" s="9">
        <f t="shared" si="48"/>
        <v>61869</v>
      </c>
    </row>
    <row r="596" spans="1:9">
      <c r="A596" s="12">
        <v>46112</v>
      </c>
      <c r="B596" s="10" t="s">
        <v>181</v>
      </c>
      <c r="C596" s="27">
        <v>5542</v>
      </c>
      <c r="D596" s="11">
        <v>113</v>
      </c>
      <c r="E596" s="7">
        <f t="shared" si="46"/>
        <v>49.044247787610622</v>
      </c>
      <c r="F596" s="10">
        <v>1123</v>
      </c>
      <c r="G596" s="10" t="s">
        <v>12</v>
      </c>
      <c r="H596" s="8">
        <f t="shared" si="47"/>
        <v>5625944</v>
      </c>
      <c r="I596" s="9">
        <f t="shared" si="48"/>
        <v>61982</v>
      </c>
    </row>
    <row r="597" spans="1:9">
      <c r="A597" s="12">
        <v>46113</v>
      </c>
      <c r="B597" s="10" t="s">
        <v>180</v>
      </c>
      <c r="C597" s="27">
        <v>9553</v>
      </c>
      <c r="D597" s="11">
        <v>74</v>
      </c>
      <c r="E597" s="7">
        <f t="shared" si="46"/>
        <v>129.09459459459458</v>
      </c>
      <c r="F597" s="10">
        <v>1123</v>
      </c>
      <c r="G597" s="10" t="s">
        <v>12</v>
      </c>
      <c r="H597" s="8">
        <f t="shared" si="47"/>
        <v>5635497</v>
      </c>
      <c r="I597" s="9">
        <f t="shared" si="48"/>
        <v>62056</v>
      </c>
    </row>
    <row r="598" spans="1:9">
      <c r="A598" s="12">
        <v>46113</v>
      </c>
      <c r="B598" s="10" t="s">
        <v>180</v>
      </c>
      <c r="C598" s="27">
        <v>15600</v>
      </c>
      <c r="D598" s="11">
        <v>122</v>
      </c>
      <c r="E598" s="7">
        <f t="shared" si="46"/>
        <v>127.8688524590164</v>
      </c>
      <c r="F598" s="10">
        <v>1072</v>
      </c>
      <c r="G598" s="10" t="s">
        <v>146</v>
      </c>
      <c r="H598" s="8">
        <f t="shared" si="47"/>
        <v>5651097</v>
      </c>
      <c r="I598" s="9">
        <f t="shared" si="48"/>
        <v>62178</v>
      </c>
    </row>
    <row r="599" spans="1:9">
      <c r="A599" s="12">
        <v>46114</v>
      </c>
      <c r="B599" s="10" t="s">
        <v>180</v>
      </c>
      <c r="C599" s="27">
        <v>8728</v>
      </c>
      <c r="D599" s="11">
        <v>79</v>
      </c>
      <c r="E599" s="7">
        <f t="shared" si="46"/>
        <v>110.48101265822785</v>
      </c>
      <c r="F599" s="10">
        <v>1123</v>
      </c>
      <c r="G599" s="10" t="s">
        <v>12</v>
      </c>
      <c r="H599" s="8">
        <f t="shared" si="47"/>
        <v>5659825</v>
      </c>
      <c r="I599" s="9">
        <f t="shared" si="48"/>
        <v>62257</v>
      </c>
    </row>
    <row r="600" spans="1:9">
      <c r="A600" s="12">
        <v>46114</v>
      </c>
      <c r="B600" s="10" t="s">
        <v>180</v>
      </c>
      <c r="C600" s="27">
        <v>17476</v>
      </c>
      <c r="D600" s="11">
        <v>131</v>
      </c>
      <c r="E600" s="7">
        <f t="shared" si="46"/>
        <v>133.40458015267177</v>
      </c>
      <c r="F600" s="10">
        <v>1072</v>
      </c>
      <c r="G600" s="10" t="s">
        <v>146</v>
      </c>
      <c r="H600" s="8">
        <f t="shared" si="47"/>
        <v>5677301</v>
      </c>
      <c r="I600" s="9">
        <f t="shared" si="48"/>
        <v>62388</v>
      </c>
    </row>
    <row r="601" spans="1:9">
      <c r="A601" s="12">
        <v>46118</v>
      </c>
      <c r="B601" s="10" t="s">
        <v>180</v>
      </c>
      <c r="C601" s="27">
        <v>5673</v>
      </c>
      <c r="D601" s="11">
        <v>54</v>
      </c>
      <c r="E601" s="7">
        <f t="shared" si="46"/>
        <v>105.05555555555556</v>
      </c>
      <c r="F601" s="10">
        <v>1072</v>
      </c>
      <c r="G601" s="10" t="s">
        <v>146</v>
      </c>
      <c r="H601" s="8">
        <f t="shared" si="47"/>
        <v>5682974</v>
      </c>
      <c r="I601" s="9">
        <f t="shared" si="48"/>
        <v>62442</v>
      </c>
    </row>
    <row r="602" spans="1:9">
      <c r="A602" s="12">
        <v>46118</v>
      </c>
      <c r="B602" s="10" t="s">
        <v>180</v>
      </c>
      <c r="C602" s="27">
        <v>8800</v>
      </c>
      <c r="D602" s="11">
        <v>64</v>
      </c>
      <c r="E602" s="7">
        <f t="shared" si="46"/>
        <v>137.5</v>
      </c>
      <c r="F602" s="10">
        <v>1123</v>
      </c>
      <c r="G602" s="10" t="s">
        <v>12</v>
      </c>
      <c r="H602" s="8">
        <f t="shared" si="47"/>
        <v>5691774</v>
      </c>
      <c r="I602" s="9">
        <f t="shared" si="48"/>
        <v>62506</v>
      </c>
    </row>
    <row r="603" spans="1:9">
      <c r="A603" s="12">
        <v>46122</v>
      </c>
      <c r="B603" s="10" t="s">
        <v>182</v>
      </c>
      <c r="C603" s="27">
        <v>14825</v>
      </c>
      <c r="D603" s="11">
        <v>115</v>
      </c>
      <c r="E603" s="7">
        <f t="shared" si="46"/>
        <v>128.91304347826087</v>
      </c>
      <c r="F603" s="10">
        <v>1123</v>
      </c>
      <c r="G603" s="10" t="s">
        <v>12</v>
      </c>
      <c r="H603" s="8">
        <f t="shared" si="47"/>
        <v>5706599</v>
      </c>
      <c r="I603" s="9">
        <f t="shared" si="48"/>
        <v>62621</v>
      </c>
    </row>
    <row r="604" spans="1:9">
      <c r="A604" s="12">
        <v>46122</v>
      </c>
      <c r="B604" s="10" t="s">
        <v>182</v>
      </c>
      <c r="C604" s="27">
        <v>15948</v>
      </c>
      <c r="D604" s="11">
        <v>125</v>
      </c>
      <c r="E604" s="7">
        <f t="shared" si="46"/>
        <v>127.584</v>
      </c>
      <c r="F604" s="10">
        <v>1072</v>
      </c>
      <c r="G604" s="10" t="s">
        <v>146</v>
      </c>
      <c r="H604" s="8">
        <f t="shared" si="47"/>
        <v>5722547</v>
      </c>
      <c r="I604" s="9">
        <f t="shared" si="48"/>
        <v>62746</v>
      </c>
    </row>
    <row r="605" spans="1:9">
      <c r="A605" s="12">
        <v>46123</v>
      </c>
      <c r="B605" s="10" t="s">
        <v>182</v>
      </c>
      <c r="C605" s="27">
        <v>5155</v>
      </c>
      <c r="D605" s="11">
        <v>33</v>
      </c>
      <c r="E605" s="7">
        <f t="shared" si="46"/>
        <v>156.21212121212122</v>
      </c>
      <c r="F605" s="10">
        <v>1072</v>
      </c>
      <c r="G605" s="10" t="s">
        <v>146</v>
      </c>
      <c r="H605" s="8">
        <f t="shared" si="47"/>
        <v>5727702</v>
      </c>
      <c r="I605" s="9">
        <f t="shared" si="48"/>
        <v>62779</v>
      </c>
    </row>
    <row r="606" spans="1:9">
      <c r="A606" s="12">
        <v>46123</v>
      </c>
      <c r="B606" s="10" t="s">
        <v>182</v>
      </c>
      <c r="C606" s="27">
        <v>10444</v>
      </c>
      <c r="D606" s="11">
        <v>74</v>
      </c>
      <c r="E606" s="7">
        <f t="shared" si="46"/>
        <v>141.13513513513513</v>
      </c>
      <c r="F606" s="10">
        <v>1123</v>
      </c>
      <c r="G606" s="10" t="s">
        <v>12</v>
      </c>
      <c r="H606" s="8">
        <f t="shared" si="47"/>
        <v>5738146</v>
      </c>
      <c r="I606" s="9">
        <f t="shared" si="48"/>
        <v>62853</v>
      </c>
    </row>
    <row r="607" spans="1:9">
      <c r="A607" s="12">
        <v>46126</v>
      </c>
      <c r="B607" s="10" t="s">
        <v>183</v>
      </c>
      <c r="C607" s="27">
        <v>5520</v>
      </c>
      <c r="D607" s="11">
        <v>26</v>
      </c>
      <c r="E607" s="7">
        <f t="shared" si="46"/>
        <v>212.30769230769232</v>
      </c>
      <c r="F607" s="10">
        <v>1072</v>
      </c>
      <c r="G607" s="10" t="s">
        <v>146</v>
      </c>
      <c r="H607" s="8">
        <f t="shared" si="47"/>
        <v>5743666</v>
      </c>
      <c r="I607" s="9">
        <f t="shared" si="48"/>
        <v>62879</v>
      </c>
    </row>
    <row r="608" spans="1:9">
      <c r="A608" s="12">
        <v>46126</v>
      </c>
      <c r="B608" s="10" t="s">
        <v>184</v>
      </c>
      <c r="C608" s="27">
        <v>5929</v>
      </c>
      <c r="D608" s="11">
        <v>28</v>
      </c>
      <c r="E608" s="7">
        <f t="shared" ref="E608:E671" si="50">IF(D608&gt;0,(C608/D608),"*")</f>
        <v>211.75</v>
      </c>
      <c r="F608" s="10">
        <v>1072</v>
      </c>
      <c r="G608" s="10" t="s">
        <v>146</v>
      </c>
      <c r="H608" s="8">
        <f t="shared" ref="H608:H671" si="51">H607+C608</f>
        <v>5749595</v>
      </c>
      <c r="I608" s="9">
        <f t="shared" ref="I608:I671" si="52">I607+D608</f>
        <v>62907</v>
      </c>
    </row>
    <row r="609" spans="1:9">
      <c r="A609" s="12">
        <v>46128</v>
      </c>
      <c r="B609" s="10" t="s">
        <v>185</v>
      </c>
      <c r="C609" s="27">
        <v>3927</v>
      </c>
      <c r="D609" s="11">
        <v>60</v>
      </c>
      <c r="E609" s="7">
        <f t="shared" si="50"/>
        <v>65.45</v>
      </c>
      <c r="F609" s="10">
        <v>1123</v>
      </c>
      <c r="G609" s="10" t="s">
        <v>12</v>
      </c>
      <c r="H609" s="8">
        <f t="shared" si="51"/>
        <v>5753522</v>
      </c>
      <c r="I609" s="9">
        <f t="shared" si="52"/>
        <v>62967</v>
      </c>
    </row>
    <row r="610" spans="1:9">
      <c r="A610" s="12">
        <v>46129</v>
      </c>
      <c r="B610" s="10" t="s">
        <v>185</v>
      </c>
      <c r="C610" s="27">
        <v>10264</v>
      </c>
      <c r="D610" s="11">
        <v>116</v>
      </c>
      <c r="E610" s="7">
        <f t="shared" si="50"/>
        <v>88.482758620689651</v>
      </c>
      <c r="F610" s="10">
        <v>1123</v>
      </c>
      <c r="G610" s="10" t="s">
        <v>12</v>
      </c>
      <c r="H610" s="8">
        <f t="shared" si="51"/>
        <v>5763786</v>
      </c>
      <c r="I610" s="9">
        <f t="shared" si="52"/>
        <v>63083</v>
      </c>
    </row>
    <row r="611" spans="1:9">
      <c r="A611" s="12">
        <v>46130</v>
      </c>
      <c r="B611" s="10" t="s">
        <v>185</v>
      </c>
      <c r="C611" s="27">
        <v>18324</v>
      </c>
      <c r="D611" s="11">
        <v>135</v>
      </c>
      <c r="E611" s="7">
        <f t="shared" si="50"/>
        <v>135.73333333333332</v>
      </c>
      <c r="F611" s="10">
        <v>1123</v>
      </c>
      <c r="G611" s="10" t="s">
        <v>12</v>
      </c>
      <c r="H611" s="8">
        <f t="shared" si="51"/>
        <v>5782110</v>
      </c>
      <c r="I611" s="9">
        <f t="shared" si="52"/>
        <v>63218</v>
      </c>
    </row>
    <row r="612" spans="1:9">
      <c r="A612" s="12">
        <v>46130</v>
      </c>
      <c r="B612" s="10" t="s">
        <v>185</v>
      </c>
      <c r="C612" s="27">
        <v>13396</v>
      </c>
      <c r="D612" s="11">
        <v>121</v>
      </c>
      <c r="E612" s="7">
        <f t="shared" si="50"/>
        <v>110.7107438016529</v>
      </c>
      <c r="F612" s="10">
        <v>1072</v>
      </c>
      <c r="G612" s="10" t="s">
        <v>146</v>
      </c>
      <c r="H612" s="8">
        <f t="shared" si="51"/>
        <v>5795506</v>
      </c>
      <c r="I612" s="9">
        <f t="shared" si="52"/>
        <v>63339</v>
      </c>
    </row>
    <row r="613" spans="1:9">
      <c r="A613" s="12">
        <v>46134</v>
      </c>
      <c r="B613" s="10" t="s">
        <v>186</v>
      </c>
      <c r="C613" s="27">
        <v>10000</v>
      </c>
      <c r="D613" s="11">
        <v>67</v>
      </c>
      <c r="E613" s="7">
        <f t="shared" si="50"/>
        <v>149.25373134328359</v>
      </c>
      <c r="F613" s="10">
        <v>1123</v>
      </c>
      <c r="G613" s="10" t="s">
        <v>12</v>
      </c>
      <c r="H613" s="8">
        <f t="shared" si="51"/>
        <v>5805506</v>
      </c>
      <c r="I613" s="9">
        <f t="shared" si="52"/>
        <v>63406</v>
      </c>
    </row>
    <row r="614" spans="1:9">
      <c r="A614" s="12">
        <v>46134</v>
      </c>
      <c r="B614" s="10" t="s">
        <v>186</v>
      </c>
      <c r="C614" s="27">
        <v>2100</v>
      </c>
      <c r="D614" s="11">
        <v>19</v>
      </c>
      <c r="E614" s="7">
        <f t="shared" si="50"/>
        <v>110.52631578947368</v>
      </c>
      <c r="F614" s="10">
        <v>1072</v>
      </c>
      <c r="G614" s="10" t="s">
        <v>146</v>
      </c>
      <c r="H614" s="8">
        <f t="shared" si="51"/>
        <v>5807606</v>
      </c>
      <c r="I614" s="9">
        <f t="shared" si="52"/>
        <v>63425</v>
      </c>
    </row>
    <row r="615" spans="1:9">
      <c r="A615" s="12">
        <v>46135</v>
      </c>
      <c r="B615" s="10" t="s">
        <v>186</v>
      </c>
      <c r="C615" s="27">
        <v>8297</v>
      </c>
      <c r="D615" s="11">
        <v>92</v>
      </c>
      <c r="E615" s="7">
        <f t="shared" si="50"/>
        <v>90.184782608695656</v>
      </c>
      <c r="F615" s="10">
        <v>1072</v>
      </c>
      <c r="G615" s="10" t="s">
        <v>146</v>
      </c>
      <c r="H615" s="8">
        <f t="shared" si="51"/>
        <v>5815903</v>
      </c>
      <c r="I615" s="9">
        <f t="shared" si="52"/>
        <v>63517</v>
      </c>
    </row>
    <row r="616" spans="1:9">
      <c r="A616" s="12">
        <v>46135</v>
      </c>
      <c r="B616" s="10" t="s">
        <v>186</v>
      </c>
      <c r="C616" s="27">
        <v>7379</v>
      </c>
      <c r="D616" s="11">
        <v>72</v>
      </c>
      <c r="E616" s="7">
        <f t="shared" si="50"/>
        <v>102.48611111111111</v>
      </c>
      <c r="F616" s="10">
        <v>1123</v>
      </c>
      <c r="G616" s="10" t="s">
        <v>12</v>
      </c>
      <c r="H616" s="8">
        <f t="shared" si="51"/>
        <v>5823282</v>
      </c>
      <c r="I616" s="9">
        <f t="shared" si="52"/>
        <v>63589</v>
      </c>
    </row>
    <row r="617" spans="1:9">
      <c r="A617" s="12">
        <v>46136</v>
      </c>
      <c r="B617" s="10" t="s">
        <v>187</v>
      </c>
      <c r="C617" s="27">
        <v>8520</v>
      </c>
      <c r="D617" s="11">
        <v>67</v>
      </c>
      <c r="E617" s="7">
        <f t="shared" si="50"/>
        <v>127.16417910447761</v>
      </c>
      <c r="F617" s="10">
        <v>1072</v>
      </c>
      <c r="G617" s="10" t="s">
        <v>146</v>
      </c>
      <c r="H617" s="8">
        <f t="shared" si="51"/>
        <v>5831802</v>
      </c>
      <c r="I617" s="9">
        <f t="shared" si="52"/>
        <v>63656</v>
      </c>
    </row>
    <row r="618" spans="1:9">
      <c r="A618" s="12">
        <v>46140</v>
      </c>
      <c r="B618" s="10" t="s">
        <v>187</v>
      </c>
      <c r="C618" s="27">
        <v>11677</v>
      </c>
      <c r="D618" s="11">
        <v>82</v>
      </c>
      <c r="E618" s="7">
        <f t="shared" si="50"/>
        <v>142.40243902439025</v>
      </c>
      <c r="F618" s="10">
        <v>1072</v>
      </c>
      <c r="G618" s="10" t="s">
        <v>146</v>
      </c>
      <c r="H618" s="8">
        <f t="shared" si="51"/>
        <v>5843479</v>
      </c>
      <c r="I618" s="9">
        <f t="shared" si="52"/>
        <v>63738</v>
      </c>
    </row>
    <row r="619" spans="1:9">
      <c r="A619" s="12">
        <v>46140</v>
      </c>
      <c r="B619" s="10" t="s">
        <v>187</v>
      </c>
      <c r="C619" s="27">
        <v>9764</v>
      </c>
      <c r="D619" s="11">
        <v>76</v>
      </c>
      <c r="E619" s="7">
        <f t="shared" si="50"/>
        <v>128.47368421052633</v>
      </c>
      <c r="F619" s="10">
        <v>1123</v>
      </c>
      <c r="G619" s="10" t="s">
        <v>12</v>
      </c>
      <c r="H619" s="8">
        <f t="shared" si="51"/>
        <v>5853243</v>
      </c>
      <c r="I619" s="9">
        <f t="shared" si="52"/>
        <v>63814</v>
      </c>
    </row>
    <row r="620" spans="1:9">
      <c r="A620" s="12">
        <v>46140</v>
      </c>
      <c r="B620" s="10" t="s">
        <v>188</v>
      </c>
      <c r="C620" s="27">
        <v>10610</v>
      </c>
      <c r="D620" s="11">
        <v>64</v>
      </c>
      <c r="E620" s="7">
        <f t="shared" si="50"/>
        <v>165.78125</v>
      </c>
      <c r="F620" s="10">
        <v>1072</v>
      </c>
      <c r="G620" s="10" t="s">
        <v>146</v>
      </c>
      <c r="H620" s="8">
        <f t="shared" si="51"/>
        <v>5863853</v>
      </c>
      <c r="I620" s="9">
        <f t="shared" si="52"/>
        <v>63878</v>
      </c>
    </row>
    <row r="621" spans="1:9">
      <c r="A621" s="12">
        <v>46141</v>
      </c>
      <c r="B621" s="10" t="s">
        <v>188</v>
      </c>
      <c r="C621" s="27">
        <v>2390</v>
      </c>
      <c r="D621" s="11">
        <v>22</v>
      </c>
      <c r="E621" s="7">
        <f t="shared" si="50"/>
        <v>108.63636363636364</v>
      </c>
      <c r="F621" s="10">
        <v>1072</v>
      </c>
      <c r="G621" s="10" t="s">
        <v>146</v>
      </c>
      <c r="H621" s="8">
        <f t="shared" si="51"/>
        <v>5866243</v>
      </c>
      <c r="I621" s="9">
        <f t="shared" si="52"/>
        <v>63900</v>
      </c>
    </row>
    <row r="622" spans="1:9">
      <c r="A622" s="12">
        <v>46141</v>
      </c>
      <c r="B622" s="10" t="s">
        <v>188</v>
      </c>
      <c r="C622" s="27">
        <v>9139</v>
      </c>
      <c r="D622" s="11">
        <v>71</v>
      </c>
      <c r="E622" s="7">
        <f t="shared" si="50"/>
        <v>128.71830985915494</v>
      </c>
      <c r="F622" s="10">
        <v>1123</v>
      </c>
      <c r="G622" s="10" t="s">
        <v>12</v>
      </c>
      <c r="H622" s="8">
        <f t="shared" si="51"/>
        <v>5875382</v>
      </c>
      <c r="I622" s="9">
        <f t="shared" si="52"/>
        <v>63971</v>
      </c>
    </row>
    <row r="623" spans="1:9">
      <c r="A623" s="12">
        <v>46141</v>
      </c>
      <c r="B623" s="10" t="s">
        <v>189</v>
      </c>
      <c r="C623" s="27">
        <v>8600</v>
      </c>
      <c r="D623" s="11">
        <v>84</v>
      </c>
      <c r="E623" s="7">
        <f t="shared" si="50"/>
        <v>102.38095238095238</v>
      </c>
      <c r="F623" s="10">
        <v>1072</v>
      </c>
      <c r="G623" s="10" t="s">
        <v>146</v>
      </c>
      <c r="H623" s="8">
        <f t="shared" si="51"/>
        <v>5883982</v>
      </c>
      <c r="I623" s="9">
        <f t="shared" si="52"/>
        <v>64055</v>
      </c>
    </row>
    <row r="624" spans="1:9">
      <c r="A624" s="12">
        <v>46141</v>
      </c>
      <c r="B624" s="10" t="s">
        <v>189</v>
      </c>
      <c r="C624" s="27">
        <v>4754</v>
      </c>
      <c r="D624" s="11">
        <v>43</v>
      </c>
      <c r="E624" s="7">
        <f t="shared" si="50"/>
        <v>110.55813953488372</v>
      </c>
      <c r="F624" s="10">
        <v>1123</v>
      </c>
      <c r="G624" s="10" t="s">
        <v>12</v>
      </c>
      <c r="H624" s="8">
        <f t="shared" si="51"/>
        <v>5888736</v>
      </c>
      <c r="I624" s="9">
        <f t="shared" si="52"/>
        <v>64098</v>
      </c>
    </row>
    <row r="625" spans="1:9">
      <c r="A625" s="12">
        <v>46142</v>
      </c>
      <c r="B625" s="10" t="s">
        <v>189</v>
      </c>
      <c r="C625" s="27">
        <v>1847</v>
      </c>
      <c r="D625" s="11">
        <v>19</v>
      </c>
      <c r="E625" s="7">
        <f t="shared" si="50"/>
        <v>97.21052631578948</v>
      </c>
      <c r="F625" s="10">
        <v>1123</v>
      </c>
      <c r="G625" s="10" t="s">
        <v>12</v>
      </c>
      <c r="H625" s="8">
        <f t="shared" si="51"/>
        <v>5890583</v>
      </c>
      <c r="I625" s="9">
        <f t="shared" si="52"/>
        <v>64117</v>
      </c>
    </row>
    <row r="626" spans="1:9">
      <c r="A626" s="12">
        <v>46144</v>
      </c>
      <c r="B626" s="10" t="s">
        <v>190</v>
      </c>
      <c r="C626" s="27">
        <v>13016</v>
      </c>
      <c r="D626" s="11">
        <v>104</v>
      </c>
      <c r="E626" s="7">
        <f t="shared" si="50"/>
        <v>125.15384615384616</v>
      </c>
      <c r="F626" s="10">
        <v>1123</v>
      </c>
      <c r="G626" s="10" t="s">
        <v>12</v>
      </c>
      <c r="H626" s="8">
        <f t="shared" si="51"/>
        <v>5903599</v>
      </c>
      <c r="I626" s="9">
        <f t="shared" si="52"/>
        <v>64221</v>
      </c>
    </row>
    <row r="627" spans="1:9">
      <c r="A627" s="12">
        <v>46144</v>
      </c>
      <c r="B627" s="10" t="s">
        <v>190</v>
      </c>
      <c r="C627" s="27">
        <v>11634</v>
      </c>
      <c r="D627" s="11">
        <v>83</v>
      </c>
      <c r="E627" s="7">
        <f t="shared" si="50"/>
        <v>140.16867469879517</v>
      </c>
      <c r="F627" s="10">
        <v>1072</v>
      </c>
      <c r="G627" s="10" t="s">
        <v>146</v>
      </c>
      <c r="H627" s="8">
        <f t="shared" si="51"/>
        <v>5915233</v>
      </c>
      <c r="I627" s="9">
        <f t="shared" si="52"/>
        <v>64304</v>
      </c>
    </row>
    <row r="628" spans="1:9">
      <c r="A628" s="12">
        <v>46146</v>
      </c>
      <c r="B628" s="10" t="s">
        <v>190</v>
      </c>
      <c r="C628" s="27">
        <v>12110</v>
      </c>
      <c r="D628" s="11">
        <v>74</v>
      </c>
      <c r="E628" s="7">
        <f t="shared" si="50"/>
        <v>163.64864864864865</v>
      </c>
      <c r="F628" s="10">
        <v>1072</v>
      </c>
      <c r="G628" s="10" t="s">
        <v>146</v>
      </c>
      <c r="H628" s="8">
        <f t="shared" si="51"/>
        <v>5927343</v>
      </c>
      <c r="I628" s="9">
        <f t="shared" si="52"/>
        <v>64378</v>
      </c>
    </row>
    <row r="629" spans="1:9">
      <c r="A629" s="12">
        <v>46146</v>
      </c>
      <c r="B629" s="10" t="s">
        <v>190</v>
      </c>
      <c r="C629" s="27">
        <v>20608</v>
      </c>
      <c r="D629" s="11">
        <v>92</v>
      </c>
      <c r="E629" s="7">
        <f t="shared" si="50"/>
        <v>224</v>
      </c>
      <c r="F629" s="10">
        <v>1123</v>
      </c>
      <c r="G629" s="10" t="s">
        <v>12</v>
      </c>
      <c r="H629" s="8">
        <f t="shared" si="51"/>
        <v>5947951</v>
      </c>
      <c r="I629" s="9">
        <f t="shared" si="52"/>
        <v>64470</v>
      </c>
    </row>
    <row r="630" spans="1:9">
      <c r="A630" s="12">
        <v>46147</v>
      </c>
      <c r="B630" s="10" t="s">
        <v>191</v>
      </c>
      <c r="C630" s="27">
        <v>9072</v>
      </c>
      <c r="D630" s="11">
        <v>71</v>
      </c>
      <c r="E630" s="7">
        <f t="shared" si="50"/>
        <v>127.77464788732394</v>
      </c>
      <c r="F630" s="10">
        <v>1123</v>
      </c>
      <c r="G630" s="10" t="s">
        <v>12</v>
      </c>
      <c r="H630" s="8">
        <f t="shared" si="51"/>
        <v>5957023</v>
      </c>
      <c r="I630" s="9">
        <f t="shared" si="52"/>
        <v>64541</v>
      </c>
    </row>
    <row r="631" spans="1:9">
      <c r="A631" s="12">
        <v>46147</v>
      </c>
      <c r="B631" s="10" t="s">
        <v>191</v>
      </c>
      <c r="C631" s="27">
        <v>7734</v>
      </c>
      <c r="D631" s="11">
        <v>59</v>
      </c>
      <c r="E631" s="7">
        <f t="shared" si="50"/>
        <v>131.08474576271186</v>
      </c>
      <c r="F631" s="10">
        <v>1072</v>
      </c>
      <c r="G631" s="10" t="s">
        <v>146</v>
      </c>
      <c r="H631" s="8">
        <f t="shared" si="51"/>
        <v>5964757</v>
      </c>
      <c r="I631" s="9">
        <f t="shared" si="52"/>
        <v>64600</v>
      </c>
    </row>
    <row r="632" spans="1:9">
      <c r="A632" s="12">
        <v>46148</v>
      </c>
      <c r="B632" s="10" t="s">
        <v>191</v>
      </c>
      <c r="C632" s="27">
        <v>22094</v>
      </c>
      <c r="D632" s="11">
        <v>173</v>
      </c>
      <c r="E632" s="7">
        <f t="shared" si="50"/>
        <v>127.71098265895954</v>
      </c>
      <c r="F632" s="10">
        <v>1072</v>
      </c>
      <c r="G632" s="10" t="s">
        <v>146</v>
      </c>
      <c r="H632" s="8">
        <f t="shared" si="51"/>
        <v>5986851</v>
      </c>
      <c r="I632" s="9">
        <f t="shared" si="52"/>
        <v>64773</v>
      </c>
    </row>
    <row r="633" spans="1:9">
      <c r="A633" s="12">
        <v>46148</v>
      </c>
      <c r="B633" s="10" t="s">
        <v>191</v>
      </c>
      <c r="C633" s="27">
        <v>16773</v>
      </c>
      <c r="D633" s="11">
        <v>127</v>
      </c>
      <c r="E633" s="7">
        <f t="shared" si="50"/>
        <v>132.0708661417323</v>
      </c>
      <c r="F633" s="10">
        <v>1123</v>
      </c>
      <c r="G633" s="10" t="s">
        <v>12</v>
      </c>
      <c r="H633" s="8">
        <f t="shared" si="51"/>
        <v>6003624</v>
      </c>
      <c r="I633" s="9">
        <f t="shared" si="52"/>
        <v>64900</v>
      </c>
    </row>
    <row r="634" spans="1:9">
      <c r="A634" s="12">
        <v>46149</v>
      </c>
      <c r="B634" s="10" t="s">
        <v>191</v>
      </c>
      <c r="C634" s="27">
        <v>15907</v>
      </c>
      <c r="D634" s="11">
        <v>132</v>
      </c>
      <c r="E634" s="7">
        <f t="shared" si="50"/>
        <v>120.50757575757575</v>
      </c>
      <c r="F634" s="10">
        <v>1072</v>
      </c>
      <c r="G634" s="10" t="s">
        <v>146</v>
      </c>
      <c r="H634" s="8">
        <f t="shared" si="51"/>
        <v>6019531</v>
      </c>
      <c r="I634" s="9">
        <f t="shared" si="52"/>
        <v>65032</v>
      </c>
    </row>
    <row r="635" spans="1:9">
      <c r="A635" s="12">
        <v>46149</v>
      </c>
      <c r="B635" s="10" t="s">
        <v>191</v>
      </c>
      <c r="C635" s="27">
        <v>18034</v>
      </c>
      <c r="D635" s="11">
        <v>143</v>
      </c>
      <c r="E635" s="7">
        <f t="shared" si="50"/>
        <v>126.11188811188811</v>
      </c>
      <c r="F635" s="10">
        <v>1123</v>
      </c>
      <c r="G635" s="10" t="s">
        <v>12</v>
      </c>
      <c r="H635" s="8">
        <f t="shared" si="51"/>
        <v>6037565</v>
      </c>
      <c r="I635" s="9">
        <f t="shared" si="52"/>
        <v>65175</v>
      </c>
    </row>
    <row r="636" spans="1:9">
      <c r="A636" s="12">
        <v>46150</v>
      </c>
      <c r="B636" s="10" t="s">
        <v>192</v>
      </c>
      <c r="C636" s="27">
        <v>8881</v>
      </c>
      <c r="D636" s="11">
        <v>69</v>
      </c>
      <c r="E636" s="7">
        <f t="shared" si="50"/>
        <v>128.71014492753622</v>
      </c>
      <c r="F636" s="10">
        <v>1123</v>
      </c>
      <c r="G636" s="10" t="s">
        <v>12</v>
      </c>
      <c r="H636" s="8">
        <f t="shared" si="51"/>
        <v>6046446</v>
      </c>
      <c r="I636" s="9">
        <f t="shared" si="52"/>
        <v>65244</v>
      </c>
    </row>
    <row r="637" spans="1:9">
      <c r="A637" s="12">
        <v>46150</v>
      </c>
      <c r="B637" s="10" t="s">
        <v>192</v>
      </c>
      <c r="C637" s="27">
        <v>5983</v>
      </c>
      <c r="D637" s="11">
        <v>51</v>
      </c>
      <c r="E637" s="7">
        <f t="shared" si="50"/>
        <v>117.31372549019608</v>
      </c>
      <c r="F637" s="10">
        <v>1072</v>
      </c>
      <c r="G637" s="10" t="s">
        <v>146</v>
      </c>
      <c r="H637" s="8">
        <f t="shared" si="51"/>
        <v>6052429</v>
      </c>
      <c r="I637" s="9">
        <f t="shared" si="52"/>
        <v>65295</v>
      </c>
    </row>
    <row r="638" spans="1:9">
      <c r="A638" s="12">
        <v>46151</v>
      </c>
      <c r="B638" s="10" t="s">
        <v>192</v>
      </c>
      <c r="C638" s="27">
        <v>5157</v>
      </c>
      <c r="D638" s="11">
        <v>40</v>
      </c>
      <c r="E638" s="7">
        <f t="shared" si="50"/>
        <v>128.92500000000001</v>
      </c>
      <c r="F638" s="10">
        <v>1123</v>
      </c>
      <c r="G638" s="10" t="s">
        <v>193</v>
      </c>
      <c r="H638" s="8">
        <f t="shared" si="51"/>
        <v>6057586</v>
      </c>
      <c r="I638" s="9">
        <f t="shared" si="52"/>
        <v>65335</v>
      </c>
    </row>
    <row r="639" spans="1:9">
      <c r="A639" s="12">
        <v>46151</v>
      </c>
      <c r="B639" s="10" t="s">
        <v>194</v>
      </c>
      <c r="C639" s="27">
        <v>5001</v>
      </c>
      <c r="D639" s="11">
        <v>40</v>
      </c>
      <c r="E639" s="7">
        <f t="shared" si="50"/>
        <v>125.02500000000001</v>
      </c>
      <c r="F639" s="10">
        <v>1123</v>
      </c>
      <c r="G639" s="10" t="s">
        <v>12</v>
      </c>
      <c r="H639" s="8">
        <f t="shared" si="51"/>
        <v>6062587</v>
      </c>
      <c r="I639" s="9">
        <f t="shared" si="52"/>
        <v>65375</v>
      </c>
    </row>
    <row r="640" spans="1:9">
      <c r="A640" s="12">
        <v>46151</v>
      </c>
      <c r="B640" s="10" t="s">
        <v>194</v>
      </c>
      <c r="C640" s="27">
        <v>10178</v>
      </c>
      <c r="D640" s="11">
        <v>80</v>
      </c>
      <c r="E640" s="7">
        <f t="shared" si="50"/>
        <v>127.22499999999999</v>
      </c>
      <c r="F640" s="10">
        <v>1072</v>
      </c>
      <c r="G640" s="10" t="s">
        <v>193</v>
      </c>
      <c r="H640" s="8">
        <f t="shared" si="51"/>
        <v>6072765</v>
      </c>
      <c r="I640" s="9">
        <f t="shared" si="52"/>
        <v>65455</v>
      </c>
    </row>
    <row r="641" spans="1:9">
      <c r="A641" s="5">
        <v>46153</v>
      </c>
      <c r="B641" s="10" t="s">
        <v>192</v>
      </c>
      <c r="C641" s="27">
        <v>115</v>
      </c>
      <c r="D641" s="6">
        <v>1</v>
      </c>
      <c r="E641" s="7">
        <f t="shared" si="50"/>
        <v>115</v>
      </c>
      <c r="F641" s="10">
        <v>1123</v>
      </c>
      <c r="G641" s="10" t="s">
        <v>12</v>
      </c>
      <c r="H641" s="8">
        <f t="shared" si="51"/>
        <v>6072880</v>
      </c>
      <c r="I641" s="9">
        <f t="shared" si="52"/>
        <v>65456</v>
      </c>
    </row>
    <row r="642" spans="1:9">
      <c r="A642" s="5">
        <v>46153</v>
      </c>
      <c r="B642" s="10" t="s">
        <v>194</v>
      </c>
      <c r="C642" s="27">
        <v>11766</v>
      </c>
      <c r="D642" s="6">
        <v>88</v>
      </c>
      <c r="E642" s="7">
        <f t="shared" si="50"/>
        <v>133.70454545454547</v>
      </c>
      <c r="F642" s="10">
        <v>1072</v>
      </c>
      <c r="G642" s="10" t="s">
        <v>146</v>
      </c>
      <c r="H642" s="8">
        <f t="shared" si="51"/>
        <v>6084646</v>
      </c>
      <c r="I642" s="9">
        <f t="shared" si="52"/>
        <v>65544</v>
      </c>
    </row>
    <row r="643" spans="1:9">
      <c r="A643" s="5">
        <v>46153</v>
      </c>
      <c r="B643" s="10" t="s">
        <v>194</v>
      </c>
      <c r="C643" s="27">
        <v>10201</v>
      </c>
      <c r="D643" s="6">
        <v>87</v>
      </c>
      <c r="E643" s="7">
        <f t="shared" si="50"/>
        <v>117.25287356321839</v>
      </c>
      <c r="F643" s="10">
        <v>1123</v>
      </c>
      <c r="G643" s="10" t="s">
        <v>12</v>
      </c>
      <c r="H643" s="8">
        <f t="shared" si="51"/>
        <v>6094847</v>
      </c>
      <c r="I643" s="9">
        <f t="shared" si="52"/>
        <v>65631</v>
      </c>
    </row>
    <row r="644" spans="1:9">
      <c r="A644" s="5">
        <v>46154</v>
      </c>
      <c r="B644" s="13" t="s">
        <v>195</v>
      </c>
      <c r="C644" s="27">
        <v>2242</v>
      </c>
      <c r="D644" s="6">
        <v>22</v>
      </c>
      <c r="E644" s="7">
        <f t="shared" si="50"/>
        <v>101.90909090909091</v>
      </c>
      <c r="F644" s="10">
        <v>1123</v>
      </c>
      <c r="G644" s="10" t="s">
        <v>12</v>
      </c>
      <c r="H644" s="8">
        <f t="shared" si="51"/>
        <v>6097089</v>
      </c>
      <c r="I644" s="9">
        <f t="shared" si="52"/>
        <v>65653</v>
      </c>
    </row>
    <row r="645" spans="1:9">
      <c r="A645" s="5">
        <v>46154</v>
      </c>
      <c r="B645" s="13" t="s">
        <v>195</v>
      </c>
      <c r="C645" s="27">
        <v>4430</v>
      </c>
      <c r="D645" s="6">
        <v>59</v>
      </c>
      <c r="E645" s="7">
        <f t="shared" si="50"/>
        <v>75.084745762711862</v>
      </c>
      <c r="F645" s="10">
        <v>1072</v>
      </c>
      <c r="G645" s="10" t="s">
        <v>146</v>
      </c>
      <c r="H645" s="8">
        <f t="shared" si="51"/>
        <v>6101519</v>
      </c>
      <c r="I645" s="9">
        <f t="shared" si="52"/>
        <v>65712</v>
      </c>
    </row>
    <row r="646" spans="1:9">
      <c r="A646" s="5">
        <v>46155</v>
      </c>
      <c r="B646" s="13" t="s">
        <v>196</v>
      </c>
      <c r="C646" s="27">
        <v>5116</v>
      </c>
      <c r="D646" s="6">
        <v>43</v>
      </c>
      <c r="E646" s="7">
        <f t="shared" si="50"/>
        <v>118.97674418604652</v>
      </c>
      <c r="F646" s="10">
        <v>1123</v>
      </c>
      <c r="G646" s="10" t="s">
        <v>12</v>
      </c>
      <c r="H646" s="8">
        <f t="shared" si="51"/>
        <v>6106635</v>
      </c>
      <c r="I646" s="9">
        <f t="shared" si="52"/>
        <v>65755</v>
      </c>
    </row>
    <row r="647" spans="1:9">
      <c r="A647" s="5">
        <v>46155</v>
      </c>
      <c r="B647" s="13" t="s">
        <v>196</v>
      </c>
      <c r="C647" s="27">
        <v>4554</v>
      </c>
      <c r="D647" s="6">
        <v>30</v>
      </c>
      <c r="E647" s="7">
        <f t="shared" si="50"/>
        <v>151.80000000000001</v>
      </c>
      <c r="F647" s="10">
        <v>1072</v>
      </c>
      <c r="G647" s="10" t="s">
        <v>193</v>
      </c>
      <c r="H647" s="8">
        <f t="shared" si="51"/>
        <v>6111189</v>
      </c>
      <c r="I647" s="9">
        <f t="shared" si="52"/>
        <v>65785</v>
      </c>
    </row>
    <row r="648" spans="1:9">
      <c r="A648" s="5">
        <v>46126</v>
      </c>
      <c r="B648" s="13" t="s">
        <v>197</v>
      </c>
      <c r="C648" s="27">
        <v>9457</v>
      </c>
      <c r="D648" s="6">
        <v>203</v>
      </c>
      <c r="E648" s="7">
        <f t="shared" si="50"/>
        <v>46.586206896551722</v>
      </c>
      <c r="F648" s="10">
        <v>1123</v>
      </c>
      <c r="G648" s="10" t="s">
        <v>12</v>
      </c>
      <c r="H648" s="8">
        <f t="shared" si="51"/>
        <v>6120646</v>
      </c>
      <c r="I648" s="9">
        <f t="shared" si="52"/>
        <v>65988</v>
      </c>
    </row>
    <row r="649" spans="1:9">
      <c r="A649" s="5">
        <v>46156</v>
      </c>
      <c r="B649" s="13" t="s">
        <v>197</v>
      </c>
      <c r="C649" s="27">
        <v>7679</v>
      </c>
      <c r="D649" s="6">
        <v>303</v>
      </c>
      <c r="E649" s="7">
        <f t="shared" si="50"/>
        <v>25.343234323432345</v>
      </c>
      <c r="F649" s="10">
        <v>1072</v>
      </c>
      <c r="G649" s="10" t="s">
        <v>193</v>
      </c>
      <c r="H649" s="8">
        <f t="shared" si="51"/>
        <v>6128325</v>
      </c>
      <c r="I649" s="9">
        <f t="shared" si="52"/>
        <v>66291</v>
      </c>
    </row>
    <row r="650" spans="1:9">
      <c r="A650" s="5">
        <v>46157</v>
      </c>
      <c r="B650" s="13" t="s">
        <v>196</v>
      </c>
      <c r="C650" s="27">
        <v>7354</v>
      </c>
      <c r="D650" s="6">
        <v>66</v>
      </c>
      <c r="E650" s="7">
        <f t="shared" si="50"/>
        <v>111.42424242424242</v>
      </c>
      <c r="F650" s="10">
        <v>1123</v>
      </c>
      <c r="G650" s="10" t="s">
        <v>12</v>
      </c>
      <c r="H650" s="8">
        <f t="shared" si="51"/>
        <v>6135679</v>
      </c>
      <c r="I650" s="9">
        <f t="shared" si="52"/>
        <v>66357</v>
      </c>
    </row>
    <row r="651" spans="1:9">
      <c r="A651" s="5">
        <v>46157</v>
      </c>
      <c r="B651" s="13" t="s">
        <v>196</v>
      </c>
      <c r="C651" s="27">
        <v>12501</v>
      </c>
      <c r="D651" s="6">
        <v>113</v>
      </c>
      <c r="E651" s="7">
        <f t="shared" si="50"/>
        <v>110.6283185840708</v>
      </c>
      <c r="F651" s="10">
        <v>1072</v>
      </c>
      <c r="G651" s="10" t="s">
        <v>193</v>
      </c>
      <c r="H651" s="8">
        <f t="shared" si="51"/>
        <v>6148180</v>
      </c>
      <c r="I651" s="9">
        <f t="shared" si="52"/>
        <v>66470</v>
      </c>
    </row>
    <row r="652" spans="1:9">
      <c r="A652" s="5">
        <v>46158</v>
      </c>
      <c r="B652" s="13" t="s">
        <v>196</v>
      </c>
      <c r="C652" s="27">
        <v>3409</v>
      </c>
      <c r="D652" s="6">
        <v>26</v>
      </c>
      <c r="E652" s="7">
        <f>IF(D652&gt;0,(C652/D652),"*")</f>
        <v>131.11538461538461</v>
      </c>
      <c r="F652" s="10">
        <v>1072</v>
      </c>
      <c r="G652" s="10" t="s">
        <v>193</v>
      </c>
      <c r="H652" s="8">
        <f>H651+C652</f>
        <v>6151589</v>
      </c>
      <c r="I652" s="9">
        <f t="shared" si="52"/>
        <v>66496</v>
      </c>
    </row>
    <row r="653" spans="1:9">
      <c r="A653" s="5">
        <v>46158</v>
      </c>
      <c r="B653" s="13" t="s">
        <v>198</v>
      </c>
      <c r="C653" s="27">
        <v>2075</v>
      </c>
      <c r="D653" s="6">
        <v>49</v>
      </c>
      <c r="E653" s="7">
        <f>IF(D653&gt;0,(C653/D653),"*")</f>
        <v>42.346938775510203</v>
      </c>
      <c r="F653" s="10">
        <v>1123</v>
      </c>
      <c r="G653" s="10" t="s">
        <v>12</v>
      </c>
      <c r="H653" s="8">
        <f>H652+C653</f>
        <v>6153664</v>
      </c>
      <c r="I653" s="9">
        <f t="shared" si="52"/>
        <v>66545</v>
      </c>
    </row>
    <row r="654" spans="1:9">
      <c r="A654" s="5">
        <v>46160</v>
      </c>
      <c r="B654" s="13" t="s">
        <v>196</v>
      </c>
      <c r="C654" s="27">
        <v>10857</v>
      </c>
      <c r="D654" s="6">
        <v>83</v>
      </c>
      <c r="E654" s="7">
        <f t="shared" si="50"/>
        <v>130.80722891566265</v>
      </c>
      <c r="F654" s="10">
        <v>1072</v>
      </c>
      <c r="G654" s="10" t="s">
        <v>193</v>
      </c>
      <c r="H654" s="8">
        <f t="shared" si="51"/>
        <v>6164521</v>
      </c>
      <c r="I654" s="9">
        <f t="shared" si="52"/>
        <v>66628</v>
      </c>
    </row>
    <row r="655" spans="1:9">
      <c r="A655" s="5">
        <v>46160</v>
      </c>
      <c r="B655" s="13" t="s">
        <v>196</v>
      </c>
      <c r="C655" s="27">
        <v>11534</v>
      </c>
      <c r="D655" s="6">
        <v>106</v>
      </c>
      <c r="E655" s="7">
        <f t="shared" si="50"/>
        <v>108.81132075471699</v>
      </c>
      <c r="F655" s="10">
        <v>1123</v>
      </c>
      <c r="G655" s="10" t="s">
        <v>12</v>
      </c>
      <c r="H655" s="8">
        <f t="shared" si="51"/>
        <v>6176055</v>
      </c>
      <c r="I655" s="9">
        <f t="shared" si="52"/>
        <v>66734</v>
      </c>
    </row>
    <row r="656" spans="1:9">
      <c r="A656" s="5">
        <v>46160</v>
      </c>
      <c r="B656" s="13" t="s">
        <v>198</v>
      </c>
      <c r="C656" s="27">
        <v>3751</v>
      </c>
      <c r="D656" s="6">
        <v>64</v>
      </c>
      <c r="E656" s="7">
        <f t="shared" si="50"/>
        <v>58.609375</v>
      </c>
      <c r="F656" s="10">
        <v>1072</v>
      </c>
      <c r="G656" s="10" t="s">
        <v>193</v>
      </c>
      <c r="H656" s="8">
        <f t="shared" si="51"/>
        <v>6179806</v>
      </c>
      <c r="I656" s="9">
        <f t="shared" si="52"/>
        <v>66798</v>
      </c>
    </row>
    <row r="657" spans="1:9">
      <c r="A657" s="5">
        <v>46161</v>
      </c>
      <c r="B657" s="13" t="s">
        <v>198</v>
      </c>
      <c r="C657" s="27">
        <v>1471</v>
      </c>
      <c r="D657" s="6">
        <v>16</v>
      </c>
      <c r="E657" s="7">
        <f t="shared" si="50"/>
        <v>91.9375</v>
      </c>
      <c r="F657" s="10">
        <v>1072</v>
      </c>
      <c r="G657" s="10" t="s">
        <v>193</v>
      </c>
      <c r="H657" s="8">
        <f t="shared" si="51"/>
        <v>6181277</v>
      </c>
      <c r="I657" s="9">
        <f t="shared" si="52"/>
        <v>66814</v>
      </c>
    </row>
    <row r="658" spans="1:9">
      <c r="A658" s="5">
        <v>46161</v>
      </c>
      <c r="B658" s="13" t="s">
        <v>198</v>
      </c>
      <c r="C658" s="27">
        <v>510</v>
      </c>
      <c r="D658" s="6">
        <v>5</v>
      </c>
      <c r="E658" s="7">
        <f t="shared" si="50"/>
        <v>102</v>
      </c>
      <c r="F658" s="10">
        <v>1123</v>
      </c>
      <c r="G658" s="10" t="s">
        <v>12</v>
      </c>
      <c r="H658" s="8">
        <f t="shared" si="51"/>
        <v>6181787</v>
      </c>
      <c r="I658" s="9">
        <f t="shared" si="52"/>
        <v>66819</v>
      </c>
    </row>
    <row r="659" spans="1:9">
      <c r="A659" s="5">
        <v>46163</v>
      </c>
      <c r="B659" s="13" t="s">
        <v>199</v>
      </c>
      <c r="C659" s="27">
        <v>20339</v>
      </c>
      <c r="D659" s="6">
        <v>174</v>
      </c>
      <c r="E659" s="7">
        <f t="shared" si="50"/>
        <v>116.89080459770115</v>
      </c>
      <c r="F659" s="10">
        <v>1123</v>
      </c>
      <c r="G659" s="10" t="s">
        <v>12</v>
      </c>
      <c r="H659" s="8">
        <f t="shared" si="51"/>
        <v>6202126</v>
      </c>
      <c r="I659" s="9">
        <f t="shared" si="52"/>
        <v>66993</v>
      </c>
    </row>
    <row r="660" spans="1:9">
      <c r="A660" s="5">
        <v>46163</v>
      </c>
      <c r="B660" s="13" t="s">
        <v>199</v>
      </c>
      <c r="C660" s="27">
        <v>15701</v>
      </c>
      <c r="D660" s="6">
        <v>125</v>
      </c>
      <c r="E660" s="7">
        <f t="shared" si="50"/>
        <v>125.608</v>
      </c>
      <c r="F660" s="10">
        <v>1072</v>
      </c>
      <c r="G660" s="10" t="s">
        <v>193</v>
      </c>
      <c r="H660" s="8">
        <f t="shared" si="51"/>
        <v>6217827</v>
      </c>
      <c r="I660" s="9">
        <f t="shared" si="52"/>
        <v>67118</v>
      </c>
    </row>
    <row r="661" spans="1:9">
      <c r="A661" s="5">
        <v>46164</v>
      </c>
      <c r="B661" s="13" t="s">
        <v>199</v>
      </c>
      <c r="C661" s="27">
        <v>9777</v>
      </c>
      <c r="D661" s="6">
        <v>86</v>
      </c>
      <c r="E661" s="7">
        <f t="shared" si="50"/>
        <v>113.68604651162791</v>
      </c>
      <c r="F661" s="10">
        <v>1123</v>
      </c>
      <c r="G661" s="10" t="s">
        <v>12</v>
      </c>
      <c r="H661" s="8">
        <f t="shared" si="51"/>
        <v>6227604</v>
      </c>
      <c r="I661" s="9">
        <f t="shared" si="52"/>
        <v>67204</v>
      </c>
    </row>
    <row r="662" spans="1:9">
      <c r="A662" s="5">
        <v>46164</v>
      </c>
      <c r="B662" s="13" t="s">
        <v>199</v>
      </c>
      <c r="C662" s="27">
        <v>7754</v>
      </c>
      <c r="D662" s="6">
        <v>70</v>
      </c>
      <c r="E662" s="7">
        <f t="shared" si="50"/>
        <v>110.77142857142857</v>
      </c>
      <c r="F662" s="10">
        <v>1072</v>
      </c>
      <c r="G662" s="10" t="s">
        <v>193</v>
      </c>
      <c r="H662" s="8">
        <f t="shared" si="51"/>
        <v>6235358</v>
      </c>
      <c r="I662" s="9">
        <f t="shared" si="52"/>
        <v>67274</v>
      </c>
    </row>
    <row r="663" spans="1:9">
      <c r="A663" s="5">
        <v>46165</v>
      </c>
      <c r="B663" s="13" t="s">
        <v>199</v>
      </c>
      <c r="C663" s="27">
        <v>5818</v>
      </c>
      <c r="D663" s="6">
        <v>53</v>
      </c>
      <c r="E663" s="7">
        <f t="shared" si="50"/>
        <v>109.77358490566037</v>
      </c>
      <c r="F663" s="10">
        <v>1123</v>
      </c>
      <c r="G663" s="10" t="s">
        <v>12</v>
      </c>
      <c r="H663" s="8">
        <f t="shared" si="51"/>
        <v>6241176</v>
      </c>
      <c r="I663" s="9">
        <f t="shared" si="52"/>
        <v>67327</v>
      </c>
    </row>
    <row r="664" spans="1:9">
      <c r="A664" s="5">
        <v>46167</v>
      </c>
      <c r="B664" s="13" t="s">
        <v>200</v>
      </c>
      <c r="C664" s="27">
        <v>9535</v>
      </c>
      <c r="D664" s="6">
        <v>146</v>
      </c>
      <c r="E664" s="7">
        <f t="shared" si="50"/>
        <v>65.308219178082197</v>
      </c>
      <c r="F664" s="10">
        <v>1123</v>
      </c>
      <c r="G664" s="10" t="s">
        <v>12</v>
      </c>
      <c r="H664" s="8">
        <f t="shared" si="51"/>
        <v>6250711</v>
      </c>
      <c r="I664" s="9">
        <f t="shared" si="52"/>
        <v>67473</v>
      </c>
    </row>
    <row r="665" spans="1:9">
      <c r="A665" s="5">
        <v>46167</v>
      </c>
      <c r="B665" s="13" t="s">
        <v>200</v>
      </c>
      <c r="C665" s="27">
        <v>10282</v>
      </c>
      <c r="D665" s="6">
        <v>100</v>
      </c>
      <c r="E665" s="7">
        <f t="shared" si="50"/>
        <v>102.82</v>
      </c>
      <c r="F665" s="10">
        <v>1072</v>
      </c>
      <c r="G665" s="10" t="s">
        <v>193</v>
      </c>
      <c r="H665" s="8">
        <f t="shared" si="51"/>
        <v>6260993</v>
      </c>
      <c r="I665" s="9">
        <f t="shared" si="52"/>
        <v>67573</v>
      </c>
    </row>
    <row r="666" spans="1:9">
      <c r="A666" s="5">
        <v>46167</v>
      </c>
      <c r="B666" s="13" t="s">
        <v>201</v>
      </c>
      <c r="C666" s="27">
        <v>510</v>
      </c>
      <c r="D666" s="6">
        <v>3</v>
      </c>
      <c r="E666" s="7">
        <f t="shared" si="50"/>
        <v>170</v>
      </c>
      <c r="F666" s="10">
        <v>1123</v>
      </c>
      <c r="G666" s="10" t="s">
        <v>12</v>
      </c>
      <c r="H666" s="8">
        <f t="shared" si="51"/>
        <v>6261503</v>
      </c>
      <c r="I666" s="9">
        <f t="shared" si="52"/>
        <v>67576</v>
      </c>
    </row>
    <row r="667" spans="1:9">
      <c r="A667" s="5">
        <v>46167</v>
      </c>
      <c r="B667" s="13" t="s">
        <v>201</v>
      </c>
      <c r="C667" s="27">
        <v>8211</v>
      </c>
      <c r="D667" s="6">
        <v>47</v>
      </c>
      <c r="E667" s="7">
        <f t="shared" si="50"/>
        <v>174.70212765957447</v>
      </c>
      <c r="F667" s="10">
        <v>1072</v>
      </c>
      <c r="G667" s="10" t="s">
        <v>193</v>
      </c>
      <c r="H667" s="8">
        <f t="shared" si="51"/>
        <v>6269714</v>
      </c>
      <c r="I667" s="9">
        <f t="shared" si="52"/>
        <v>67623</v>
      </c>
    </row>
    <row r="668" spans="1:9">
      <c r="A668" s="12">
        <v>46168</v>
      </c>
      <c r="B668" s="13" t="s">
        <v>201</v>
      </c>
      <c r="C668" s="27">
        <v>14921</v>
      </c>
      <c r="D668" s="11">
        <v>92</v>
      </c>
      <c r="E668" s="7">
        <f t="shared" si="50"/>
        <v>162.18478260869566</v>
      </c>
      <c r="F668" s="10">
        <v>1072</v>
      </c>
      <c r="G668" s="10" t="s">
        <v>193</v>
      </c>
      <c r="H668" s="8">
        <f t="shared" si="51"/>
        <v>6284635</v>
      </c>
      <c r="I668" s="9">
        <f t="shared" si="52"/>
        <v>67715</v>
      </c>
    </row>
    <row r="669" spans="1:9">
      <c r="A669" s="12">
        <v>46168</v>
      </c>
      <c r="B669" s="13" t="s">
        <v>201</v>
      </c>
      <c r="C669" s="27">
        <v>3132</v>
      </c>
      <c r="D669" s="11">
        <v>25</v>
      </c>
      <c r="E669" s="7">
        <f t="shared" si="50"/>
        <v>125.28</v>
      </c>
      <c r="F669" s="10">
        <v>1123</v>
      </c>
      <c r="G669" s="10" t="s">
        <v>12</v>
      </c>
      <c r="H669" s="8">
        <f t="shared" si="51"/>
        <v>6287767</v>
      </c>
      <c r="I669" s="9">
        <f t="shared" si="52"/>
        <v>67740</v>
      </c>
    </row>
    <row r="670" spans="1:9">
      <c r="A670" s="5">
        <v>46171</v>
      </c>
      <c r="B670" s="6" t="s">
        <v>202</v>
      </c>
      <c r="C670" s="27">
        <v>10177</v>
      </c>
      <c r="D670" s="6">
        <v>82</v>
      </c>
      <c r="E670" s="7">
        <f t="shared" si="50"/>
        <v>124.10975609756098</v>
      </c>
      <c r="F670" s="10">
        <v>1123</v>
      </c>
      <c r="G670" s="10" t="s">
        <v>12</v>
      </c>
      <c r="H670" s="8">
        <f t="shared" si="51"/>
        <v>6297944</v>
      </c>
      <c r="I670" s="9">
        <f t="shared" si="52"/>
        <v>67822</v>
      </c>
    </row>
    <row r="671" spans="1:9">
      <c r="A671" s="5">
        <v>46171</v>
      </c>
      <c r="B671" s="6" t="s">
        <v>202</v>
      </c>
      <c r="C671" s="27">
        <v>22824</v>
      </c>
      <c r="D671" s="6">
        <v>158</v>
      </c>
      <c r="E671" s="7">
        <f t="shared" si="50"/>
        <v>144.45569620253164</v>
      </c>
      <c r="F671" s="10">
        <v>1072</v>
      </c>
      <c r="G671" s="10" t="s">
        <v>193</v>
      </c>
      <c r="H671" s="8">
        <f t="shared" si="51"/>
        <v>6320768</v>
      </c>
      <c r="I671" s="9">
        <f t="shared" si="52"/>
        <v>67980</v>
      </c>
    </row>
    <row r="672" spans="1:9">
      <c r="A672" s="5">
        <v>46173</v>
      </c>
      <c r="B672" s="6" t="s">
        <v>202</v>
      </c>
      <c r="C672" s="27">
        <v>11483</v>
      </c>
      <c r="D672" s="6">
        <v>70</v>
      </c>
      <c r="E672" s="7">
        <f t="shared" ref="E672:E735" si="53">IF(D672&gt;0,(C672/D672),"*")</f>
        <v>164.04285714285714</v>
      </c>
      <c r="F672" s="10">
        <v>1072</v>
      </c>
      <c r="G672" s="10" t="s">
        <v>193</v>
      </c>
      <c r="H672" s="8">
        <f t="shared" ref="H672:H735" si="54">H671+C672</f>
        <v>6332251</v>
      </c>
      <c r="I672" s="9">
        <f t="shared" ref="I672:I735" si="55">I671+D672</f>
        <v>68050</v>
      </c>
    </row>
    <row r="673" spans="1:9">
      <c r="A673" s="5">
        <v>46174</v>
      </c>
      <c r="B673" s="6" t="s">
        <v>202</v>
      </c>
      <c r="C673" s="27">
        <v>10151</v>
      </c>
      <c r="D673" s="6">
        <v>85</v>
      </c>
      <c r="E673" s="7">
        <f t="shared" si="53"/>
        <v>119.4235294117647</v>
      </c>
      <c r="F673" s="10">
        <v>1123</v>
      </c>
      <c r="G673" s="10" t="s">
        <v>12</v>
      </c>
      <c r="H673" s="8">
        <f t="shared" si="54"/>
        <v>6342402</v>
      </c>
      <c r="I673" s="9">
        <f t="shared" si="55"/>
        <v>68135</v>
      </c>
    </row>
    <row r="674" spans="1:9">
      <c r="A674" s="5">
        <v>46174</v>
      </c>
      <c r="B674" s="6" t="s">
        <v>202</v>
      </c>
      <c r="C674" s="27">
        <v>10106</v>
      </c>
      <c r="D674" s="6">
        <v>86</v>
      </c>
      <c r="E674" s="7">
        <f t="shared" si="53"/>
        <v>117.51162790697674</v>
      </c>
      <c r="F674" s="10">
        <v>1072</v>
      </c>
      <c r="G674" s="10" t="s">
        <v>193</v>
      </c>
      <c r="H674" s="8">
        <f t="shared" si="54"/>
        <v>6352508</v>
      </c>
      <c r="I674" s="9">
        <f t="shared" si="55"/>
        <v>68221</v>
      </c>
    </row>
    <row r="675" spans="1:9">
      <c r="A675" s="12">
        <v>46174</v>
      </c>
      <c r="B675" s="10" t="s">
        <v>203</v>
      </c>
      <c r="C675" s="27">
        <v>5934</v>
      </c>
      <c r="D675" s="11">
        <v>44</v>
      </c>
      <c r="E675" s="7">
        <f t="shared" si="53"/>
        <v>134.86363636363637</v>
      </c>
      <c r="F675" s="10">
        <v>1123</v>
      </c>
      <c r="G675" s="10" t="s">
        <v>12</v>
      </c>
      <c r="H675" s="8">
        <f t="shared" si="54"/>
        <v>6358442</v>
      </c>
      <c r="I675" s="9">
        <f t="shared" si="55"/>
        <v>68265</v>
      </c>
    </row>
    <row r="676" spans="1:9">
      <c r="A676" s="12">
        <v>46174</v>
      </c>
      <c r="B676" s="10" t="s">
        <v>203</v>
      </c>
      <c r="C676" s="27">
        <v>5802</v>
      </c>
      <c r="D676" s="11">
        <v>41</v>
      </c>
      <c r="E676" s="7">
        <f t="shared" si="53"/>
        <v>141.51219512195121</v>
      </c>
      <c r="F676" s="10">
        <v>1072</v>
      </c>
      <c r="G676" s="10" t="s">
        <v>193</v>
      </c>
      <c r="H676" s="8">
        <f t="shared" si="54"/>
        <v>6364244</v>
      </c>
      <c r="I676" s="9">
        <f t="shared" si="55"/>
        <v>68306</v>
      </c>
    </row>
    <row r="677" spans="1:9">
      <c r="A677" s="12">
        <v>46175</v>
      </c>
      <c r="B677" s="10" t="s">
        <v>203</v>
      </c>
      <c r="C677" s="27">
        <v>3585</v>
      </c>
      <c r="D677" s="11">
        <v>27</v>
      </c>
      <c r="E677" s="7">
        <f t="shared" si="53"/>
        <v>132.77777777777777</v>
      </c>
      <c r="F677" s="10">
        <v>1123</v>
      </c>
      <c r="G677" s="10" t="s">
        <v>12</v>
      </c>
      <c r="H677" s="8">
        <f t="shared" si="54"/>
        <v>6367829</v>
      </c>
      <c r="I677" s="9">
        <f t="shared" si="55"/>
        <v>68333</v>
      </c>
    </row>
    <row r="678" spans="1:9">
      <c r="A678" s="12">
        <v>46175</v>
      </c>
      <c r="B678" s="10" t="s">
        <v>203</v>
      </c>
      <c r="C678" s="27">
        <v>2771</v>
      </c>
      <c r="D678" s="11">
        <v>20</v>
      </c>
      <c r="E678" s="7">
        <f t="shared" si="53"/>
        <v>138.55000000000001</v>
      </c>
      <c r="F678" s="10">
        <v>1072</v>
      </c>
      <c r="G678" s="10" t="s">
        <v>193</v>
      </c>
      <c r="H678" s="8">
        <f t="shared" si="54"/>
        <v>6370600</v>
      </c>
      <c r="I678" s="9">
        <f t="shared" si="55"/>
        <v>68353</v>
      </c>
    </row>
    <row r="679" spans="1:9">
      <c r="A679" s="12">
        <v>46176</v>
      </c>
      <c r="B679" s="10" t="s">
        <v>204</v>
      </c>
      <c r="C679" s="27">
        <v>23136</v>
      </c>
      <c r="D679" s="11">
        <v>109</v>
      </c>
      <c r="E679" s="7">
        <f t="shared" si="53"/>
        <v>212.25688073394497</v>
      </c>
      <c r="F679" s="10">
        <v>1072</v>
      </c>
      <c r="G679" s="10" t="s">
        <v>193</v>
      </c>
      <c r="H679" s="8">
        <f t="shared" si="54"/>
        <v>6393736</v>
      </c>
      <c r="I679" s="9">
        <f t="shared" si="55"/>
        <v>68462</v>
      </c>
    </row>
    <row r="680" spans="1:9">
      <c r="A680" s="12">
        <v>46176</v>
      </c>
      <c r="B680" s="10" t="s">
        <v>204</v>
      </c>
      <c r="C680" s="27">
        <v>13633</v>
      </c>
      <c r="D680" s="11">
        <v>111</v>
      </c>
      <c r="E680" s="7">
        <f t="shared" si="53"/>
        <v>122.81981981981981</v>
      </c>
      <c r="F680" s="10">
        <v>1123</v>
      </c>
      <c r="G680" s="10" t="s">
        <v>12</v>
      </c>
      <c r="H680" s="8">
        <f t="shared" si="54"/>
        <v>6407369</v>
      </c>
      <c r="I680" s="9">
        <f t="shared" si="55"/>
        <v>68573</v>
      </c>
    </row>
    <row r="681" spans="1:9">
      <c r="A681" s="12">
        <v>46179</v>
      </c>
      <c r="B681" s="10" t="s">
        <v>205</v>
      </c>
      <c r="C681" s="27">
        <v>18694</v>
      </c>
      <c r="D681" s="11">
        <v>125</v>
      </c>
      <c r="E681" s="7">
        <f t="shared" si="53"/>
        <v>149.55199999999999</v>
      </c>
      <c r="F681" s="10">
        <v>1123</v>
      </c>
      <c r="G681" s="10" t="s">
        <v>12</v>
      </c>
      <c r="H681" s="8">
        <f t="shared" si="54"/>
        <v>6426063</v>
      </c>
      <c r="I681" s="9">
        <f t="shared" si="55"/>
        <v>68698</v>
      </c>
    </row>
    <row r="682" spans="1:9">
      <c r="A682" s="12">
        <v>46179</v>
      </c>
      <c r="B682" s="10" t="s">
        <v>205</v>
      </c>
      <c r="C682" s="27">
        <v>20453</v>
      </c>
      <c r="D682" s="11">
        <v>129</v>
      </c>
      <c r="E682" s="7">
        <f t="shared" si="53"/>
        <v>158.55038759689921</v>
      </c>
      <c r="F682" s="10">
        <v>1072</v>
      </c>
      <c r="G682" s="10" t="s">
        <v>193</v>
      </c>
      <c r="H682" s="8">
        <f t="shared" si="54"/>
        <v>6446516</v>
      </c>
      <c r="I682" s="9">
        <f t="shared" si="55"/>
        <v>68827</v>
      </c>
    </row>
    <row r="683" spans="1:9">
      <c r="A683" s="12">
        <v>46181</v>
      </c>
      <c r="B683" s="10" t="s">
        <v>205</v>
      </c>
      <c r="C683" s="27">
        <v>19084</v>
      </c>
      <c r="D683" s="11">
        <v>127</v>
      </c>
      <c r="E683" s="7">
        <f t="shared" si="53"/>
        <v>150.26771653543307</v>
      </c>
      <c r="F683" s="10">
        <v>1123</v>
      </c>
      <c r="G683" s="10" t="s">
        <v>12</v>
      </c>
      <c r="H683" s="8">
        <f t="shared" si="54"/>
        <v>6465600</v>
      </c>
      <c r="I683" s="9">
        <f t="shared" si="55"/>
        <v>68954</v>
      </c>
    </row>
    <row r="684" spans="1:9">
      <c r="A684" s="12">
        <v>46181</v>
      </c>
      <c r="B684" s="10" t="s">
        <v>205</v>
      </c>
      <c r="C684" s="27">
        <v>23232</v>
      </c>
      <c r="D684" s="11">
        <v>166</v>
      </c>
      <c r="E684" s="7">
        <f t="shared" si="53"/>
        <v>139.95180722891567</v>
      </c>
      <c r="F684" s="10">
        <v>1072</v>
      </c>
      <c r="G684" s="10" t="s">
        <v>193</v>
      </c>
      <c r="H684" s="8">
        <f t="shared" si="54"/>
        <v>6488832</v>
      </c>
      <c r="I684" s="9">
        <f t="shared" si="55"/>
        <v>69120</v>
      </c>
    </row>
    <row r="685" spans="1:9">
      <c r="E685" s="7" t="str">
        <f t="shared" si="53"/>
        <v>*</v>
      </c>
      <c r="H685" s="8">
        <f t="shared" si="54"/>
        <v>6488832</v>
      </c>
      <c r="I685" s="9">
        <f t="shared" si="55"/>
        <v>69120</v>
      </c>
    </row>
    <row r="686" spans="1:9">
      <c r="E686" s="7" t="str">
        <f t="shared" si="53"/>
        <v>*</v>
      </c>
      <c r="H686" s="8">
        <f t="shared" si="54"/>
        <v>6488832</v>
      </c>
      <c r="I686" s="9">
        <f t="shared" si="55"/>
        <v>69120</v>
      </c>
    </row>
    <row r="687" spans="1:9">
      <c r="E687" s="7" t="str">
        <f t="shared" si="53"/>
        <v>*</v>
      </c>
      <c r="H687" s="8">
        <f t="shared" si="54"/>
        <v>6488832</v>
      </c>
      <c r="I687" s="9">
        <f t="shared" si="55"/>
        <v>69120</v>
      </c>
    </row>
    <row r="688" spans="1:9">
      <c r="E688" s="7" t="str">
        <f t="shared" si="53"/>
        <v>*</v>
      </c>
      <c r="H688" s="8">
        <f t="shared" si="54"/>
        <v>6488832</v>
      </c>
      <c r="I688" s="9">
        <f t="shared" si="55"/>
        <v>69120</v>
      </c>
    </row>
    <row r="689" spans="5:9">
      <c r="E689" s="7" t="str">
        <f t="shared" si="53"/>
        <v>*</v>
      </c>
      <c r="H689" s="8">
        <f t="shared" si="54"/>
        <v>6488832</v>
      </c>
      <c r="I689" s="9">
        <f t="shared" si="55"/>
        <v>69120</v>
      </c>
    </row>
    <row r="690" spans="5:9">
      <c r="E690" s="7" t="str">
        <f t="shared" si="53"/>
        <v>*</v>
      </c>
      <c r="H690" s="8">
        <f t="shared" si="54"/>
        <v>6488832</v>
      </c>
      <c r="I690" s="9">
        <f t="shared" si="55"/>
        <v>69120</v>
      </c>
    </row>
    <row r="691" spans="5:9">
      <c r="E691" s="7" t="str">
        <f t="shared" si="53"/>
        <v>*</v>
      </c>
      <c r="H691" s="8">
        <f t="shared" si="54"/>
        <v>6488832</v>
      </c>
      <c r="I691" s="9">
        <f t="shared" si="55"/>
        <v>69120</v>
      </c>
    </row>
    <row r="692" spans="5:9">
      <c r="E692" s="7" t="str">
        <f t="shared" si="53"/>
        <v>*</v>
      </c>
      <c r="H692" s="8">
        <f t="shared" si="54"/>
        <v>6488832</v>
      </c>
      <c r="I692" s="9">
        <f t="shared" si="55"/>
        <v>69120</v>
      </c>
    </row>
    <row r="693" spans="5:9">
      <c r="E693" s="7" t="str">
        <f t="shared" si="53"/>
        <v>*</v>
      </c>
      <c r="H693" s="8">
        <f t="shared" si="54"/>
        <v>6488832</v>
      </c>
      <c r="I693" s="9">
        <f t="shared" si="55"/>
        <v>69120</v>
      </c>
    </row>
    <row r="694" spans="5:9">
      <c r="E694" s="7" t="str">
        <f t="shared" si="53"/>
        <v>*</v>
      </c>
      <c r="H694" s="8">
        <f t="shared" si="54"/>
        <v>6488832</v>
      </c>
      <c r="I694" s="9">
        <f t="shared" si="55"/>
        <v>69120</v>
      </c>
    </row>
    <row r="695" spans="5:9">
      <c r="E695" s="7" t="str">
        <f t="shared" si="53"/>
        <v>*</v>
      </c>
      <c r="H695" s="8">
        <f t="shared" si="54"/>
        <v>6488832</v>
      </c>
      <c r="I695" s="9">
        <f t="shared" si="55"/>
        <v>69120</v>
      </c>
    </row>
    <row r="696" spans="5:9">
      <c r="E696" s="7" t="str">
        <f t="shared" si="53"/>
        <v>*</v>
      </c>
      <c r="H696" s="8">
        <f t="shared" si="54"/>
        <v>6488832</v>
      </c>
      <c r="I696" s="9">
        <f t="shared" si="55"/>
        <v>69120</v>
      </c>
    </row>
    <row r="697" spans="5:9">
      <c r="E697" s="7" t="str">
        <f t="shared" si="53"/>
        <v>*</v>
      </c>
      <c r="H697" s="8">
        <f t="shared" si="54"/>
        <v>6488832</v>
      </c>
      <c r="I697" s="9">
        <f t="shared" si="55"/>
        <v>69120</v>
      </c>
    </row>
    <row r="698" spans="5:9">
      <c r="E698" s="7" t="str">
        <f t="shared" si="53"/>
        <v>*</v>
      </c>
      <c r="H698" s="8">
        <f t="shared" si="54"/>
        <v>6488832</v>
      </c>
      <c r="I698" s="9">
        <f t="shared" si="55"/>
        <v>69120</v>
      </c>
    </row>
    <row r="699" spans="5:9">
      <c r="E699" s="7" t="str">
        <f t="shared" si="53"/>
        <v>*</v>
      </c>
      <c r="H699" s="8">
        <f t="shared" si="54"/>
        <v>6488832</v>
      </c>
      <c r="I699" s="9">
        <f t="shared" si="55"/>
        <v>69120</v>
      </c>
    </row>
    <row r="700" spans="5:9">
      <c r="E700" s="7" t="str">
        <f t="shared" si="53"/>
        <v>*</v>
      </c>
      <c r="H700" s="8">
        <f t="shared" si="54"/>
        <v>6488832</v>
      </c>
      <c r="I700" s="9">
        <f t="shared" si="55"/>
        <v>69120</v>
      </c>
    </row>
    <row r="701" spans="5:9">
      <c r="E701" s="7" t="str">
        <f t="shared" si="53"/>
        <v>*</v>
      </c>
      <c r="H701" s="8">
        <f t="shared" si="54"/>
        <v>6488832</v>
      </c>
      <c r="I701" s="9">
        <f t="shared" si="55"/>
        <v>69120</v>
      </c>
    </row>
    <row r="702" spans="5:9">
      <c r="E702" s="7" t="str">
        <f t="shared" si="53"/>
        <v>*</v>
      </c>
      <c r="H702" s="8">
        <f t="shared" si="54"/>
        <v>6488832</v>
      </c>
      <c r="I702" s="9">
        <f t="shared" si="55"/>
        <v>69120</v>
      </c>
    </row>
    <row r="703" spans="5:9">
      <c r="E703" s="7" t="str">
        <f t="shared" si="53"/>
        <v>*</v>
      </c>
      <c r="H703" s="8">
        <f t="shared" si="54"/>
        <v>6488832</v>
      </c>
      <c r="I703" s="9">
        <f t="shared" si="55"/>
        <v>69120</v>
      </c>
    </row>
    <row r="704" spans="5:9">
      <c r="E704" s="7" t="str">
        <f t="shared" si="53"/>
        <v>*</v>
      </c>
      <c r="H704" s="8">
        <f t="shared" si="54"/>
        <v>6488832</v>
      </c>
      <c r="I704" s="9">
        <f t="shared" si="55"/>
        <v>69120</v>
      </c>
    </row>
    <row r="705" spans="5:9">
      <c r="E705" s="7" t="str">
        <f t="shared" si="53"/>
        <v>*</v>
      </c>
      <c r="H705" s="8">
        <f t="shared" si="54"/>
        <v>6488832</v>
      </c>
      <c r="I705" s="9">
        <f t="shared" si="55"/>
        <v>69120</v>
      </c>
    </row>
    <row r="706" spans="5:9">
      <c r="E706" s="7" t="str">
        <f t="shared" si="53"/>
        <v>*</v>
      </c>
      <c r="H706" s="8">
        <f t="shared" si="54"/>
        <v>6488832</v>
      </c>
      <c r="I706" s="9">
        <f t="shared" si="55"/>
        <v>69120</v>
      </c>
    </row>
    <row r="707" spans="5:9">
      <c r="E707" s="7" t="str">
        <f t="shared" si="53"/>
        <v>*</v>
      </c>
      <c r="H707" s="8">
        <f t="shared" si="54"/>
        <v>6488832</v>
      </c>
      <c r="I707" s="9">
        <f t="shared" si="55"/>
        <v>69120</v>
      </c>
    </row>
    <row r="708" spans="5:9">
      <c r="E708" s="7" t="str">
        <f t="shared" si="53"/>
        <v>*</v>
      </c>
      <c r="H708" s="8">
        <f t="shared" si="54"/>
        <v>6488832</v>
      </c>
      <c r="I708" s="9">
        <f t="shared" si="55"/>
        <v>69120</v>
      </c>
    </row>
    <row r="709" spans="5:9">
      <c r="E709" s="7" t="str">
        <f t="shared" si="53"/>
        <v>*</v>
      </c>
      <c r="H709" s="8">
        <f t="shared" si="54"/>
        <v>6488832</v>
      </c>
      <c r="I709" s="9">
        <f t="shared" si="55"/>
        <v>69120</v>
      </c>
    </row>
    <row r="710" spans="5:9">
      <c r="E710" s="7" t="str">
        <f t="shared" si="53"/>
        <v>*</v>
      </c>
      <c r="H710" s="8">
        <f t="shared" si="54"/>
        <v>6488832</v>
      </c>
      <c r="I710" s="9">
        <f t="shared" si="55"/>
        <v>69120</v>
      </c>
    </row>
    <row r="711" spans="5:9">
      <c r="E711" s="7" t="str">
        <f t="shared" si="53"/>
        <v>*</v>
      </c>
      <c r="H711" s="8">
        <f t="shared" si="54"/>
        <v>6488832</v>
      </c>
      <c r="I711" s="9">
        <f t="shared" si="55"/>
        <v>69120</v>
      </c>
    </row>
    <row r="712" spans="5:9">
      <c r="E712" s="7" t="str">
        <f t="shared" si="53"/>
        <v>*</v>
      </c>
      <c r="H712" s="8">
        <f t="shared" si="54"/>
        <v>6488832</v>
      </c>
      <c r="I712" s="9">
        <f t="shared" si="55"/>
        <v>69120</v>
      </c>
    </row>
    <row r="713" spans="5:9">
      <c r="E713" s="7" t="str">
        <f t="shared" si="53"/>
        <v>*</v>
      </c>
      <c r="H713" s="8">
        <f t="shared" si="54"/>
        <v>6488832</v>
      </c>
      <c r="I713" s="9">
        <f t="shared" si="55"/>
        <v>69120</v>
      </c>
    </row>
    <row r="714" spans="5:9">
      <c r="E714" s="7" t="str">
        <f t="shared" si="53"/>
        <v>*</v>
      </c>
      <c r="H714" s="8">
        <f t="shared" si="54"/>
        <v>6488832</v>
      </c>
      <c r="I714" s="9">
        <f t="shared" si="55"/>
        <v>69120</v>
      </c>
    </row>
    <row r="715" spans="5:9">
      <c r="E715" s="7" t="str">
        <f t="shared" si="53"/>
        <v>*</v>
      </c>
      <c r="H715" s="8">
        <f t="shared" si="54"/>
        <v>6488832</v>
      </c>
      <c r="I715" s="9">
        <f t="shared" si="55"/>
        <v>69120</v>
      </c>
    </row>
    <row r="716" spans="5:9">
      <c r="E716" s="7" t="str">
        <f t="shared" si="53"/>
        <v>*</v>
      </c>
      <c r="H716" s="8">
        <f t="shared" si="54"/>
        <v>6488832</v>
      </c>
      <c r="I716" s="9">
        <f t="shared" si="55"/>
        <v>69120</v>
      </c>
    </row>
    <row r="717" spans="5:9">
      <c r="E717" s="7" t="str">
        <f t="shared" si="53"/>
        <v>*</v>
      </c>
      <c r="H717" s="8">
        <f t="shared" si="54"/>
        <v>6488832</v>
      </c>
      <c r="I717" s="9">
        <f t="shared" si="55"/>
        <v>69120</v>
      </c>
    </row>
    <row r="718" spans="5:9">
      <c r="E718" s="7" t="str">
        <f t="shared" si="53"/>
        <v>*</v>
      </c>
      <c r="H718" s="8">
        <f t="shared" si="54"/>
        <v>6488832</v>
      </c>
      <c r="I718" s="9">
        <f t="shared" si="55"/>
        <v>69120</v>
      </c>
    </row>
    <row r="719" spans="5:9">
      <c r="E719" s="7" t="str">
        <f t="shared" si="53"/>
        <v>*</v>
      </c>
      <c r="H719" s="8">
        <f t="shared" si="54"/>
        <v>6488832</v>
      </c>
      <c r="I719" s="9">
        <f t="shared" si="55"/>
        <v>69120</v>
      </c>
    </row>
    <row r="720" spans="5:9">
      <c r="E720" s="7" t="str">
        <f t="shared" si="53"/>
        <v>*</v>
      </c>
      <c r="H720" s="8">
        <f t="shared" si="54"/>
        <v>6488832</v>
      </c>
      <c r="I720" s="9">
        <f t="shared" si="55"/>
        <v>69120</v>
      </c>
    </row>
    <row r="721" spans="5:9">
      <c r="E721" s="7" t="str">
        <f t="shared" si="53"/>
        <v>*</v>
      </c>
      <c r="H721" s="8">
        <f t="shared" si="54"/>
        <v>6488832</v>
      </c>
      <c r="I721" s="9">
        <f t="shared" si="55"/>
        <v>69120</v>
      </c>
    </row>
    <row r="722" spans="5:9">
      <c r="E722" s="7" t="str">
        <f t="shared" si="53"/>
        <v>*</v>
      </c>
      <c r="H722" s="8">
        <f t="shared" si="54"/>
        <v>6488832</v>
      </c>
      <c r="I722" s="9">
        <f t="shared" si="55"/>
        <v>69120</v>
      </c>
    </row>
    <row r="723" spans="5:9">
      <c r="E723" s="7" t="str">
        <f t="shared" si="53"/>
        <v>*</v>
      </c>
      <c r="H723" s="8">
        <f t="shared" si="54"/>
        <v>6488832</v>
      </c>
      <c r="I723" s="9">
        <f t="shared" si="55"/>
        <v>69120</v>
      </c>
    </row>
    <row r="724" spans="5:9">
      <c r="E724" s="7" t="str">
        <f t="shared" si="53"/>
        <v>*</v>
      </c>
      <c r="H724" s="8">
        <f t="shared" si="54"/>
        <v>6488832</v>
      </c>
      <c r="I724" s="9">
        <f t="shared" si="55"/>
        <v>69120</v>
      </c>
    </row>
    <row r="725" spans="5:9">
      <c r="E725" s="7" t="str">
        <f t="shared" si="53"/>
        <v>*</v>
      </c>
      <c r="H725" s="8">
        <f t="shared" si="54"/>
        <v>6488832</v>
      </c>
      <c r="I725" s="9">
        <f t="shared" si="55"/>
        <v>69120</v>
      </c>
    </row>
    <row r="726" spans="5:9">
      <c r="E726" s="7" t="str">
        <f t="shared" si="53"/>
        <v>*</v>
      </c>
      <c r="H726" s="8">
        <f t="shared" si="54"/>
        <v>6488832</v>
      </c>
      <c r="I726" s="9">
        <f t="shared" si="55"/>
        <v>69120</v>
      </c>
    </row>
    <row r="727" spans="5:9">
      <c r="E727" s="7" t="str">
        <f t="shared" si="53"/>
        <v>*</v>
      </c>
      <c r="H727" s="8">
        <f t="shared" si="54"/>
        <v>6488832</v>
      </c>
      <c r="I727" s="9">
        <f t="shared" si="55"/>
        <v>69120</v>
      </c>
    </row>
    <row r="728" spans="5:9">
      <c r="E728" s="7" t="str">
        <f t="shared" si="53"/>
        <v>*</v>
      </c>
      <c r="H728" s="8">
        <f t="shared" si="54"/>
        <v>6488832</v>
      </c>
      <c r="I728" s="9">
        <f t="shared" si="55"/>
        <v>69120</v>
      </c>
    </row>
    <row r="729" spans="5:9">
      <c r="E729" s="7" t="str">
        <f t="shared" si="53"/>
        <v>*</v>
      </c>
      <c r="H729" s="8">
        <f t="shared" si="54"/>
        <v>6488832</v>
      </c>
      <c r="I729" s="9">
        <f t="shared" si="55"/>
        <v>69120</v>
      </c>
    </row>
    <row r="730" spans="5:9">
      <c r="E730" s="7" t="str">
        <f t="shared" si="53"/>
        <v>*</v>
      </c>
      <c r="H730" s="8">
        <f t="shared" si="54"/>
        <v>6488832</v>
      </c>
      <c r="I730" s="9">
        <f t="shared" si="55"/>
        <v>69120</v>
      </c>
    </row>
    <row r="731" spans="5:9">
      <c r="E731" s="7" t="str">
        <f t="shared" si="53"/>
        <v>*</v>
      </c>
      <c r="H731" s="8">
        <f t="shared" si="54"/>
        <v>6488832</v>
      </c>
      <c r="I731" s="9">
        <f t="shared" si="55"/>
        <v>69120</v>
      </c>
    </row>
    <row r="732" spans="5:9">
      <c r="E732" s="7" t="str">
        <f t="shared" si="53"/>
        <v>*</v>
      </c>
      <c r="H732" s="8">
        <f t="shared" si="54"/>
        <v>6488832</v>
      </c>
      <c r="I732" s="9">
        <f t="shared" si="55"/>
        <v>69120</v>
      </c>
    </row>
    <row r="733" spans="5:9">
      <c r="E733" s="7" t="str">
        <f t="shared" si="53"/>
        <v>*</v>
      </c>
      <c r="H733" s="8">
        <f t="shared" si="54"/>
        <v>6488832</v>
      </c>
      <c r="I733" s="9">
        <f t="shared" si="55"/>
        <v>69120</v>
      </c>
    </row>
    <row r="734" spans="5:9">
      <c r="E734" s="7" t="str">
        <f t="shared" si="53"/>
        <v>*</v>
      </c>
      <c r="H734" s="8">
        <f t="shared" si="54"/>
        <v>6488832</v>
      </c>
      <c r="I734" s="9">
        <f t="shared" si="55"/>
        <v>69120</v>
      </c>
    </row>
    <row r="735" spans="5:9">
      <c r="E735" s="7" t="str">
        <f t="shared" si="53"/>
        <v>*</v>
      </c>
      <c r="H735" s="8">
        <f t="shared" si="54"/>
        <v>6488832</v>
      </c>
      <c r="I735" s="9">
        <f t="shared" si="55"/>
        <v>69120</v>
      </c>
    </row>
    <row r="736" spans="5:9">
      <c r="E736" s="7" t="str">
        <f t="shared" ref="E736:E799" si="56">IF(D736&gt;0,(C736/D736),"*")</f>
        <v>*</v>
      </c>
      <c r="H736" s="8">
        <f t="shared" ref="H736:H799" si="57">H735+C736</f>
        <v>6488832</v>
      </c>
      <c r="I736" s="9">
        <f t="shared" ref="I736:I799" si="58">I735+D736</f>
        <v>69120</v>
      </c>
    </row>
    <row r="737" spans="5:9">
      <c r="E737" s="7" t="str">
        <f t="shared" si="56"/>
        <v>*</v>
      </c>
      <c r="H737" s="8">
        <f t="shared" si="57"/>
        <v>6488832</v>
      </c>
      <c r="I737" s="9">
        <f t="shared" si="58"/>
        <v>69120</v>
      </c>
    </row>
    <row r="738" spans="5:9">
      <c r="E738" s="7" t="str">
        <f t="shared" si="56"/>
        <v>*</v>
      </c>
      <c r="H738" s="8">
        <f t="shared" si="57"/>
        <v>6488832</v>
      </c>
      <c r="I738" s="9">
        <f t="shared" si="58"/>
        <v>69120</v>
      </c>
    </row>
    <row r="739" spans="5:9">
      <c r="E739" s="7" t="str">
        <f t="shared" si="56"/>
        <v>*</v>
      </c>
      <c r="H739" s="8">
        <f t="shared" si="57"/>
        <v>6488832</v>
      </c>
      <c r="I739" s="9">
        <f t="shared" si="58"/>
        <v>69120</v>
      </c>
    </row>
    <row r="740" spans="5:9">
      <c r="E740" s="7" t="str">
        <f t="shared" si="56"/>
        <v>*</v>
      </c>
      <c r="H740" s="8">
        <f t="shared" si="57"/>
        <v>6488832</v>
      </c>
      <c r="I740" s="9">
        <f t="shared" si="58"/>
        <v>69120</v>
      </c>
    </row>
    <row r="741" spans="5:9">
      <c r="E741" s="7" t="str">
        <f t="shared" si="56"/>
        <v>*</v>
      </c>
      <c r="H741" s="8">
        <f t="shared" si="57"/>
        <v>6488832</v>
      </c>
      <c r="I741" s="9">
        <f t="shared" si="58"/>
        <v>69120</v>
      </c>
    </row>
    <row r="742" spans="5:9">
      <c r="E742" s="7" t="str">
        <f t="shared" si="56"/>
        <v>*</v>
      </c>
      <c r="H742" s="8">
        <f t="shared" si="57"/>
        <v>6488832</v>
      </c>
      <c r="I742" s="9">
        <f t="shared" si="58"/>
        <v>69120</v>
      </c>
    </row>
    <row r="743" spans="5:9">
      <c r="E743" s="7" t="str">
        <f t="shared" si="56"/>
        <v>*</v>
      </c>
      <c r="H743" s="8">
        <f t="shared" si="57"/>
        <v>6488832</v>
      </c>
      <c r="I743" s="9">
        <f t="shared" si="58"/>
        <v>69120</v>
      </c>
    </row>
    <row r="744" spans="5:9">
      <c r="E744" s="7" t="str">
        <f t="shared" si="56"/>
        <v>*</v>
      </c>
      <c r="H744" s="8">
        <f t="shared" si="57"/>
        <v>6488832</v>
      </c>
      <c r="I744" s="9">
        <f t="shared" si="58"/>
        <v>69120</v>
      </c>
    </row>
    <row r="745" spans="5:9">
      <c r="E745" s="7" t="str">
        <f t="shared" si="56"/>
        <v>*</v>
      </c>
      <c r="H745" s="8">
        <f t="shared" si="57"/>
        <v>6488832</v>
      </c>
      <c r="I745" s="9">
        <f t="shared" si="58"/>
        <v>69120</v>
      </c>
    </row>
    <row r="746" spans="5:9">
      <c r="E746" s="7" t="str">
        <f t="shared" si="56"/>
        <v>*</v>
      </c>
      <c r="H746" s="8">
        <f t="shared" si="57"/>
        <v>6488832</v>
      </c>
      <c r="I746" s="9">
        <f t="shared" si="58"/>
        <v>69120</v>
      </c>
    </row>
    <row r="747" spans="5:9">
      <c r="E747" s="7" t="str">
        <f t="shared" si="56"/>
        <v>*</v>
      </c>
      <c r="H747" s="8">
        <f t="shared" si="57"/>
        <v>6488832</v>
      </c>
      <c r="I747" s="9">
        <f t="shared" si="58"/>
        <v>69120</v>
      </c>
    </row>
    <row r="748" spans="5:9">
      <c r="E748" s="7" t="str">
        <f t="shared" si="56"/>
        <v>*</v>
      </c>
      <c r="H748" s="8">
        <f t="shared" si="57"/>
        <v>6488832</v>
      </c>
      <c r="I748" s="9">
        <f t="shared" si="58"/>
        <v>69120</v>
      </c>
    </row>
    <row r="749" spans="5:9">
      <c r="E749" s="7" t="str">
        <f t="shared" si="56"/>
        <v>*</v>
      </c>
      <c r="H749" s="8">
        <f t="shared" si="57"/>
        <v>6488832</v>
      </c>
      <c r="I749" s="9">
        <f t="shared" si="58"/>
        <v>69120</v>
      </c>
    </row>
    <row r="750" spans="5:9">
      <c r="E750" s="7" t="str">
        <f t="shared" si="56"/>
        <v>*</v>
      </c>
      <c r="H750" s="8">
        <f t="shared" si="57"/>
        <v>6488832</v>
      </c>
      <c r="I750" s="9">
        <f t="shared" si="58"/>
        <v>69120</v>
      </c>
    </row>
    <row r="751" spans="5:9">
      <c r="E751" s="7" t="str">
        <f t="shared" si="56"/>
        <v>*</v>
      </c>
      <c r="H751" s="8">
        <f t="shared" si="57"/>
        <v>6488832</v>
      </c>
      <c r="I751" s="9">
        <f t="shared" si="58"/>
        <v>69120</v>
      </c>
    </row>
    <row r="752" spans="5:9">
      <c r="E752" s="7" t="str">
        <f t="shared" si="56"/>
        <v>*</v>
      </c>
      <c r="H752" s="8">
        <f t="shared" si="57"/>
        <v>6488832</v>
      </c>
      <c r="I752" s="9">
        <f t="shared" si="58"/>
        <v>69120</v>
      </c>
    </row>
    <row r="753" spans="5:9">
      <c r="E753" s="7" t="str">
        <f t="shared" si="56"/>
        <v>*</v>
      </c>
      <c r="H753" s="8">
        <f t="shared" si="57"/>
        <v>6488832</v>
      </c>
      <c r="I753" s="9">
        <f t="shared" si="58"/>
        <v>69120</v>
      </c>
    </row>
    <row r="754" spans="5:9">
      <c r="E754" s="7" t="str">
        <f t="shared" si="56"/>
        <v>*</v>
      </c>
      <c r="H754" s="8">
        <f t="shared" si="57"/>
        <v>6488832</v>
      </c>
      <c r="I754" s="9">
        <f t="shared" si="58"/>
        <v>69120</v>
      </c>
    </row>
    <row r="755" spans="5:9">
      <c r="E755" s="7" t="str">
        <f t="shared" si="56"/>
        <v>*</v>
      </c>
      <c r="H755" s="8">
        <f t="shared" si="57"/>
        <v>6488832</v>
      </c>
      <c r="I755" s="9">
        <f t="shared" si="58"/>
        <v>69120</v>
      </c>
    </row>
    <row r="756" spans="5:9">
      <c r="E756" s="7" t="str">
        <f t="shared" si="56"/>
        <v>*</v>
      </c>
      <c r="H756" s="8">
        <f t="shared" si="57"/>
        <v>6488832</v>
      </c>
      <c r="I756" s="9">
        <f t="shared" si="58"/>
        <v>69120</v>
      </c>
    </row>
    <row r="757" spans="5:9">
      <c r="E757" s="7" t="str">
        <f t="shared" si="56"/>
        <v>*</v>
      </c>
      <c r="H757" s="8">
        <f t="shared" si="57"/>
        <v>6488832</v>
      </c>
      <c r="I757" s="9">
        <f t="shared" si="58"/>
        <v>69120</v>
      </c>
    </row>
    <row r="758" spans="5:9">
      <c r="E758" s="7" t="str">
        <f t="shared" si="56"/>
        <v>*</v>
      </c>
      <c r="H758" s="8">
        <f t="shared" si="57"/>
        <v>6488832</v>
      </c>
      <c r="I758" s="9">
        <f t="shared" si="58"/>
        <v>69120</v>
      </c>
    </row>
    <row r="759" spans="5:9">
      <c r="E759" s="7" t="str">
        <f t="shared" si="56"/>
        <v>*</v>
      </c>
      <c r="H759" s="8">
        <f t="shared" si="57"/>
        <v>6488832</v>
      </c>
      <c r="I759" s="9">
        <f t="shared" si="58"/>
        <v>69120</v>
      </c>
    </row>
    <row r="760" spans="5:9">
      <c r="E760" s="7" t="str">
        <f t="shared" si="56"/>
        <v>*</v>
      </c>
      <c r="H760" s="8">
        <f t="shared" si="57"/>
        <v>6488832</v>
      </c>
      <c r="I760" s="9">
        <f t="shared" si="58"/>
        <v>69120</v>
      </c>
    </row>
    <row r="761" spans="5:9">
      <c r="E761" s="7" t="str">
        <f t="shared" si="56"/>
        <v>*</v>
      </c>
      <c r="H761" s="8">
        <f t="shared" si="57"/>
        <v>6488832</v>
      </c>
      <c r="I761" s="9">
        <f t="shared" si="58"/>
        <v>69120</v>
      </c>
    </row>
    <row r="762" spans="5:9">
      <c r="E762" s="7" t="str">
        <f t="shared" si="56"/>
        <v>*</v>
      </c>
      <c r="H762" s="8">
        <f t="shared" si="57"/>
        <v>6488832</v>
      </c>
      <c r="I762" s="9">
        <f t="shared" si="58"/>
        <v>69120</v>
      </c>
    </row>
    <row r="763" spans="5:9">
      <c r="E763" s="7" t="str">
        <f t="shared" si="56"/>
        <v>*</v>
      </c>
      <c r="H763" s="8">
        <f t="shared" si="57"/>
        <v>6488832</v>
      </c>
      <c r="I763" s="9">
        <f t="shared" si="58"/>
        <v>69120</v>
      </c>
    </row>
    <row r="764" spans="5:9">
      <c r="E764" s="7" t="str">
        <f t="shared" si="56"/>
        <v>*</v>
      </c>
      <c r="H764" s="8">
        <f t="shared" si="57"/>
        <v>6488832</v>
      </c>
      <c r="I764" s="9">
        <f t="shared" si="58"/>
        <v>69120</v>
      </c>
    </row>
    <row r="765" spans="5:9">
      <c r="E765" s="7" t="str">
        <f t="shared" si="56"/>
        <v>*</v>
      </c>
      <c r="H765" s="8">
        <f t="shared" si="57"/>
        <v>6488832</v>
      </c>
      <c r="I765" s="9">
        <f t="shared" si="58"/>
        <v>69120</v>
      </c>
    </row>
    <row r="766" spans="5:9">
      <c r="E766" s="7" t="str">
        <f t="shared" si="56"/>
        <v>*</v>
      </c>
      <c r="H766" s="8">
        <f t="shared" si="57"/>
        <v>6488832</v>
      </c>
      <c r="I766" s="9">
        <f t="shared" si="58"/>
        <v>69120</v>
      </c>
    </row>
    <row r="767" spans="5:9">
      <c r="E767" s="7" t="str">
        <f t="shared" si="56"/>
        <v>*</v>
      </c>
      <c r="H767" s="8">
        <f t="shared" si="57"/>
        <v>6488832</v>
      </c>
      <c r="I767" s="9">
        <f t="shared" si="58"/>
        <v>69120</v>
      </c>
    </row>
    <row r="768" spans="5:9">
      <c r="E768" s="7" t="str">
        <f t="shared" si="56"/>
        <v>*</v>
      </c>
      <c r="H768" s="8">
        <f t="shared" si="57"/>
        <v>6488832</v>
      </c>
      <c r="I768" s="9">
        <f t="shared" si="58"/>
        <v>69120</v>
      </c>
    </row>
    <row r="769" spans="5:9">
      <c r="E769" s="7" t="str">
        <f t="shared" si="56"/>
        <v>*</v>
      </c>
      <c r="H769" s="8">
        <f t="shared" si="57"/>
        <v>6488832</v>
      </c>
      <c r="I769" s="9">
        <f t="shared" si="58"/>
        <v>69120</v>
      </c>
    </row>
    <row r="770" spans="5:9">
      <c r="E770" s="7" t="str">
        <f t="shared" si="56"/>
        <v>*</v>
      </c>
      <c r="H770" s="8">
        <f t="shared" si="57"/>
        <v>6488832</v>
      </c>
      <c r="I770" s="9">
        <f t="shared" si="58"/>
        <v>69120</v>
      </c>
    </row>
    <row r="771" spans="5:9">
      <c r="E771" s="7" t="str">
        <f t="shared" si="56"/>
        <v>*</v>
      </c>
      <c r="H771" s="8">
        <f t="shared" si="57"/>
        <v>6488832</v>
      </c>
      <c r="I771" s="9">
        <f t="shared" si="58"/>
        <v>69120</v>
      </c>
    </row>
    <row r="772" spans="5:9">
      <c r="E772" s="7" t="str">
        <f t="shared" si="56"/>
        <v>*</v>
      </c>
      <c r="H772" s="8">
        <f t="shared" si="57"/>
        <v>6488832</v>
      </c>
      <c r="I772" s="9">
        <f t="shared" si="58"/>
        <v>69120</v>
      </c>
    </row>
    <row r="773" spans="5:9">
      <c r="E773" s="7" t="str">
        <f t="shared" si="56"/>
        <v>*</v>
      </c>
      <c r="H773" s="8">
        <f t="shared" si="57"/>
        <v>6488832</v>
      </c>
      <c r="I773" s="9">
        <f t="shared" si="58"/>
        <v>69120</v>
      </c>
    </row>
    <row r="774" spans="5:9">
      <c r="E774" s="7" t="str">
        <f t="shared" si="56"/>
        <v>*</v>
      </c>
      <c r="H774" s="8">
        <f t="shared" si="57"/>
        <v>6488832</v>
      </c>
      <c r="I774" s="9">
        <f t="shared" si="58"/>
        <v>69120</v>
      </c>
    </row>
    <row r="775" spans="5:9">
      <c r="E775" s="7" t="str">
        <f t="shared" si="56"/>
        <v>*</v>
      </c>
      <c r="H775" s="8">
        <f t="shared" si="57"/>
        <v>6488832</v>
      </c>
      <c r="I775" s="9">
        <f t="shared" si="58"/>
        <v>69120</v>
      </c>
    </row>
    <row r="776" spans="5:9">
      <c r="E776" s="7" t="str">
        <f t="shared" si="56"/>
        <v>*</v>
      </c>
      <c r="H776" s="8">
        <f t="shared" si="57"/>
        <v>6488832</v>
      </c>
      <c r="I776" s="9">
        <f t="shared" si="58"/>
        <v>69120</v>
      </c>
    </row>
    <row r="777" spans="5:9">
      <c r="E777" s="7" t="str">
        <f t="shared" si="56"/>
        <v>*</v>
      </c>
      <c r="H777" s="8">
        <f t="shared" si="57"/>
        <v>6488832</v>
      </c>
      <c r="I777" s="9">
        <f t="shared" si="58"/>
        <v>69120</v>
      </c>
    </row>
    <row r="778" spans="5:9">
      <c r="E778" s="7" t="str">
        <f t="shared" si="56"/>
        <v>*</v>
      </c>
      <c r="H778" s="8">
        <f t="shared" si="57"/>
        <v>6488832</v>
      </c>
      <c r="I778" s="9">
        <f t="shared" si="58"/>
        <v>69120</v>
      </c>
    </row>
    <row r="779" spans="5:9">
      <c r="E779" s="7" t="str">
        <f t="shared" si="56"/>
        <v>*</v>
      </c>
      <c r="H779" s="8">
        <f t="shared" si="57"/>
        <v>6488832</v>
      </c>
      <c r="I779" s="9">
        <f t="shared" si="58"/>
        <v>69120</v>
      </c>
    </row>
    <row r="780" spans="5:9">
      <c r="E780" s="7" t="str">
        <f t="shared" si="56"/>
        <v>*</v>
      </c>
      <c r="H780" s="8">
        <f t="shared" si="57"/>
        <v>6488832</v>
      </c>
      <c r="I780" s="9">
        <f t="shared" si="58"/>
        <v>69120</v>
      </c>
    </row>
    <row r="781" spans="5:9">
      <c r="E781" s="7" t="str">
        <f t="shared" si="56"/>
        <v>*</v>
      </c>
      <c r="H781" s="8">
        <f t="shared" si="57"/>
        <v>6488832</v>
      </c>
      <c r="I781" s="9">
        <f t="shared" si="58"/>
        <v>69120</v>
      </c>
    </row>
    <row r="782" spans="5:9">
      <c r="E782" s="7" t="str">
        <f t="shared" si="56"/>
        <v>*</v>
      </c>
      <c r="H782" s="8">
        <f t="shared" si="57"/>
        <v>6488832</v>
      </c>
      <c r="I782" s="9">
        <f t="shared" si="58"/>
        <v>69120</v>
      </c>
    </row>
    <row r="783" spans="5:9">
      <c r="E783" s="7" t="str">
        <f t="shared" si="56"/>
        <v>*</v>
      </c>
      <c r="H783" s="8">
        <f t="shared" si="57"/>
        <v>6488832</v>
      </c>
      <c r="I783" s="9">
        <f t="shared" si="58"/>
        <v>69120</v>
      </c>
    </row>
    <row r="784" spans="5:9">
      <c r="E784" s="7" t="str">
        <f t="shared" si="56"/>
        <v>*</v>
      </c>
      <c r="H784" s="8">
        <f t="shared" si="57"/>
        <v>6488832</v>
      </c>
      <c r="I784" s="9">
        <f t="shared" si="58"/>
        <v>69120</v>
      </c>
    </row>
    <row r="785" spans="5:9">
      <c r="E785" s="7" t="str">
        <f t="shared" si="56"/>
        <v>*</v>
      </c>
      <c r="H785" s="8">
        <f t="shared" si="57"/>
        <v>6488832</v>
      </c>
      <c r="I785" s="9">
        <f t="shared" si="58"/>
        <v>69120</v>
      </c>
    </row>
    <row r="786" spans="5:9">
      <c r="E786" s="7" t="str">
        <f t="shared" si="56"/>
        <v>*</v>
      </c>
      <c r="H786" s="8">
        <f t="shared" si="57"/>
        <v>6488832</v>
      </c>
      <c r="I786" s="9">
        <f t="shared" si="58"/>
        <v>69120</v>
      </c>
    </row>
    <row r="787" spans="5:9">
      <c r="E787" s="7" t="str">
        <f t="shared" si="56"/>
        <v>*</v>
      </c>
      <c r="H787" s="8">
        <f t="shared" si="57"/>
        <v>6488832</v>
      </c>
      <c r="I787" s="9">
        <f t="shared" si="58"/>
        <v>69120</v>
      </c>
    </row>
    <row r="788" spans="5:9">
      <c r="E788" s="7" t="str">
        <f t="shared" si="56"/>
        <v>*</v>
      </c>
      <c r="H788" s="8">
        <f t="shared" si="57"/>
        <v>6488832</v>
      </c>
      <c r="I788" s="9">
        <f t="shared" si="58"/>
        <v>69120</v>
      </c>
    </row>
    <row r="789" spans="5:9">
      <c r="E789" s="7" t="str">
        <f t="shared" si="56"/>
        <v>*</v>
      </c>
      <c r="H789" s="8">
        <f t="shared" si="57"/>
        <v>6488832</v>
      </c>
      <c r="I789" s="9">
        <f t="shared" si="58"/>
        <v>69120</v>
      </c>
    </row>
    <row r="790" spans="5:9">
      <c r="E790" s="7" t="str">
        <f t="shared" si="56"/>
        <v>*</v>
      </c>
      <c r="H790" s="8">
        <f t="shared" si="57"/>
        <v>6488832</v>
      </c>
      <c r="I790" s="9">
        <f t="shared" si="58"/>
        <v>69120</v>
      </c>
    </row>
    <row r="791" spans="5:9">
      <c r="E791" s="7" t="str">
        <f t="shared" si="56"/>
        <v>*</v>
      </c>
      <c r="H791" s="8">
        <f t="shared" si="57"/>
        <v>6488832</v>
      </c>
      <c r="I791" s="9">
        <f t="shared" si="58"/>
        <v>69120</v>
      </c>
    </row>
    <row r="792" spans="5:9">
      <c r="E792" s="7" t="str">
        <f t="shared" si="56"/>
        <v>*</v>
      </c>
      <c r="H792" s="8">
        <f t="shared" si="57"/>
        <v>6488832</v>
      </c>
      <c r="I792" s="9">
        <f t="shared" si="58"/>
        <v>69120</v>
      </c>
    </row>
    <row r="793" spans="5:9">
      <c r="E793" s="7" t="str">
        <f t="shared" si="56"/>
        <v>*</v>
      </c>
      <c r="H793" s="8">
        <f t="shared" si="57"/>
        <v>6488832</v>
      </c>
      <c r="I793" s="9">
        <f t="shared" si="58"/>
        <v>69120</v>
      </c>
    </row>
    <row r="794" spans="5:9">
      <c r="E794" s="7" t="str">
        <f t="shared" si="56"/>
        <v>*</v>
      </c>
      <c r="H794" s="8">
        <f t="shared" si="57"/>
        <v>6488832</v>
      </c>
      <c r="I794" s="9">
        <f t="shared" si="58"/>
        <v>69120</v>
      </c>
    </row>
    <row r="795" spans="5:9">
      <c r="E795" s="7" t="str">
        <f t="shared" si="56"/>
        <v>*</v>
      </c>
      <c r="H795" s="8">
        <f t="shared" si="57"/>
        <v>6488832</v>
      </c>
      <c r="I795" s="9">
        <f t="shared" si="58"/>
        <v>69120</v>
      </c>
    </row>
    <row r="796" spans="5:9">
      <c r="E796" s="7" t="str">
        <f t="shared" si="56"/>
        <v>*</v>
      </c>
      <c r="H796" s="8">
        <f t="shared" si="57"/>
        <v>6488832</v>
      </c>
      <c r="I796" s="9">
        <f t="shared" si="58"/>
        <v>69120</v>
      </c>
    </row>
    <row r="797" spans="5:9">
      <c r="E797" s="7" t="str">
        <f t="shared" si="56"/>
        <v>*</v>
      </c>
      <c r="H797" s="8">
        <f t="shared" si="57"/>
        <v>6488832</v>
      </c>
      <c r="I797" s="9">
        <f t="shared" si="58"/>
        <v>69120</v>
      </c>
    </row>
    <row r="798" spans="5:9">
      <c r="E798" s="7" t="str">
        <f t="shared" si="56"/>
        <v>*</v>
      </c>
      <c r="H798" s="8">
        <f t="shared" si="57"/>
        <v>6488832</v>
      </c>
      <c r="I798" s="9">
        <f t="shared" si="58"/>
        <v>69120</v>
      </c>
    </row>
    <row r="799" spans="5:9">
      <c r="E799" s="7" t="str">
        <f t="shared" si="56"/>
        <v>*</v>
      </c>
      <c r="H799" s="8">
        <f t="shared" si="57"/>
        <v>6488832</v>
      </c>
      <c r="I799" s="9">
        <f t="shared" si="58"/>
        <v>69120</v>
      </c>
    </row>
    <row r="800" spans="5:9">
      <c r="E800" s="7" t="str">
        <f t="shared" ref="E800:E863" si="59">IF(D800&gt;0,(C800/D800),"*")</f>
        <v>*</v>
      </c>
      <c r="H800" s="8">
        <f t="shared" ref="H800:H863" si="60">H799+C800</f>
        <v>6488832</v>
      </c>
      <c r="I800" s="9">
        <f t="shared" ref="I800:I863" si="61">I799+D800</f>
        <v>69120</v>
      </c>
    </row>
    <row r="801" spans="5:9">
      <c r="E801" s="7" t="str">
        <f t="shared" si="59"/>
        <v>*</v>
      </c>
      <c r="H801" s="8">
        <f t="shared" si="60"/>
        <v>6488832</v>
      </c>
      <c r="I801" s="9">
        <f t="shared" si="61"/>
        <v>69120</v>
      </c>
    </row>
    <row r="802" spans="5:9">
      <c r="E802" s="7" t="str">
        <f t="shared" si="59"/>
        <v>*</v>
      </c>
      <c r="H802" s="8">
        <f t="shared" si="60"/>
        <v>6488832</v>
      </c>
      <c r="I802" s="9">
        <f t="shared" si="61"/>
        <v>69120</v>
      </c>
    </row>
    <row r="803" spans="5:9">
      <c r="E803" s="7" t="str">
        <f t="shared" si="59"/>
        <v>*</v>
      </c>
      <c r="H803" s="8">
        <f t="shared" si="60"/>
        <v>6488832</v>
      </c>
      <c r="I803" s="9">
        <f t="shared" si="61"/>
        <v>69120</v>
      </c>
    </row>
    <row r="804" spans="5:9">
      <c r="E804" s="7" t="str">
        <f t="shared" si="59"/>
        <v>*</v>
      </c>
      <c r="H804" s="8">
        <f t="shared" si="60"/>
        <v>6488832</v>
      </c>
      <c r="I804" s="9">
        <f t="shared" si="61"/>
        <v>69120</v>
      </c>
    </row>
    <row r="805" spans="5:9">
      <c r="E805" s="7" t="str">
        <f t="shared" si="59"/>
        <v>*</v>
      </c>
      <c r="H805" s="8">
        <f t="shared" si="60"/>
        <v>6488832</v>
      </c>
      <c r="I805" s="9">
        <f t="shared" si="61"/>
        <v>69120</v>
      </c>
    </row>
    <row r="806" spans="5:9">
      <c r="E806" s="7" t="str">
        <f t="shared" si="59"/>
        <v>*</v>
      </c>
      <c r="H806" s="8">
        <f t="shared" si="60"/>
        <v>6488832</v>
      </c>
      <c r="I806" s="9">
        <f t="shared" si="61"/>
        <v>69120</v>
      </c>
    </row>
    <row r="807" spans="5:9">
      <c r="E807" s="7" t="str">
        <f t="shared" si="59"/>
        <v>*</v>
      </c>
      <c r="H807" s="8">
        <f t="shared" si="60"/>
        <v>6488832</v>
      </c>
      <c r="I807" s="9">
        <f t="shared" si="61"/>
        <v>69120</v>
      </c>
    </row>
    <row r="808" spans="5:9">
      <c r="E808" s="7" t="str">
        <f t="shared" si="59"/>
        <v>*</v>
      </c>
      <c r="H808" s="8">
        <f t="shared" si="60"/>
        <v>6488832</v>
      </c>
      <c r="I808" s="9">
        <f t="shared" si="61"/>
        <v>69120</v>
      </c>
    </row>
    <row r="809" spans="5:9">
      <c r="E809" s="7" t="str">
        <f t="shared" si="59"/>
        <v>*</v>
      </c>
      <c r="H809" s="8">
        <f t="shared" si="60"/>
        <v>6488832</v>
      </c>
      <c r="I809" s="9">
        <f t="shared" si="61"/>
        <v>69120</v>
      </c>
    </row>
    <row r="810" spans="5:9">
      <c r="E810" s="7" t="str">
        <f t="shared" si="59"/>
        <v>*</v>
      </c>
      <c r="H810" s="8">
        <f t="shared" si="60"/>
        <v>6488832</v>
      </c>
      <c r="I810" s="9">
        <f t="shared" si="61"/>
        <v>69120</v>
      </c>
    </row>
    <row r="811" spans="5:9">
      <c r="E811" s="7" t="str">
        <f t="shared" si="59"/>
        <v>*</v>
      </c>
      <c r="H811" s="8">
        <f t="shared" si="60"/>
        <v>6488832</v>
      </c>
      <c r="I811" s="9">
        <f t="shared" si="61"/>
        <v>69120</v>
      </c>
    </row>
    <row r="812" spans="5:9">
      <c r="E812" s="7" t="str">
        <f t="shared" si="59"/>
        <v>*</v>
      </c>
      <c r="H812" s="8">
        <f t="shared" si="60"/>
        <v>6488832</v>
      </c>
      <c r="I812" s="9">
        <f t="shared" si="61"/>
        <v>69120</v>
      </c>
    </row>
    <row r="813" spans="5:9">
      <c r="E813" s="7" t="str">
        <f t="shared" si="59"/>
        <v>*</v>
      </c>
      <c r="H813" s="8">
        <f t="shared" si="60"/>
        <v>6488832</v>
      </c>
      <c r="I813" s="9">
        <f t="shared" si="61"/>
        <v>69120</v>
      </c>
    </row>
    <row r="814" spans="5:9">
      <c r="E814" s="7" t="str">
        <f t="shared" si="59"/>
        <v>*</v>
      </c>
      <c r="H814" s="8">
        <f t="shared" si="60"/>
        <v>6488832</v>
      </c>
      <c r="I814" s="9">
        <f t="shared" si="61"/>
        <v>69120</v>
      </c>
    </row>
    <row r="815" spans="5:9">
      <c r="E815" s="7" t="str">
        <f t="shared" si="59"/>
        <v>*</v>
      </c>
      <c r="H815" s="8">
        <f t="shared" si="60"/>
        <v>6488832</v>
      </c>
      <c r="I815" s="9">
        <f t="shared" si="61"/>
        <v>69120</v>
      </c>
    </row>
    <row r="816" spans="5:9">
      <c r="E816" s="7" t="str">
        <f t="shared" si="59"/>
        <v>*</v>
      </c>
      <c r="H816" s="8">
        <f t="shared" si="60"/>
        <v>6488832</v>
      </c>
      <c r="I816" s="9">
        <f t="shared" si="61"/>
        <v>69120</v>
      </c>
    </row>
    <row r="817" spans="5:9">
      <c r="E817" s="7" t="str">
        <f t="shared" si="59"/>
        <v>*</v>
      </c>
      <c r="H817" s="8">
        <f t="shared" si="60"/>
        <v>6488832</v>
      </c>
      <c r="I817" s="9">
        <f t="shared" si="61"/>
        <v>69120</v>
      </c>
    </row>
    <row r="818" spans="5:9">
      <c r="E818" s="7" t="str">
        <f t="shared" si="59"/>
        <v>*</v>
      </c>
      <c r="H818" s="8">
        <f t="shared" si="60"/>
        <v>6488832</v>
      </c>
      <c r="I818" s="9">
        <f t="shared" si="61"/>
        <v>69120</v>
      </c>
    </row>
    <row r="819" spans="5:9">
      <c r="E819" s="7" t="str">
        <f t="shared" si="59"/>
        <v>*</v>
      </c>
      <c r="H819" s="8">
        <f t="shared" si="60"/>
        <v>6488832</v>
      </c>
      <c r="I819" s="9">
        <f t="shared" si="61"/>
        <v>69120</v>
      </c>
    </row>
    <row r="820" spans="5:9">
      <c r="E820" s="7" t="str">
        <f t="shared" si="59"/>
        <v>*</v>
      </c>
      <c r="H820" s="8">
        <f t="shared" si="60"/>
        <v>6488832</v>
      </c>
      <c r="I820" s="9">
        <f t="shared" si="61"/>
        <v>69120</v>
      </c>
    </row>
    <row r="821" spans="5:9">
      <c r="E821" s="7" t="str">
        <f t="shared" si="59"/>
        <v>*</v>
      </c>
      <c r="H821" s="8">
        <f t="shared" si="60"/>
        <v>6488832</v>
      </c>
      <c r="I821" s="9">
        <f t="shared" si="61"/>
        <v>69120</v>
      </c>
    </row>
    <row r="822" spans="5:9">
      <c r="E822" s="7" t="str">
        <f t="shared" si="59"/>
        <v>*</v>
      </c>
      <c r="H822" s="8">
        <f t="shared" si="60"/>
        <v>6488832</v>
      </c>
      <c r="I822" s="9">
        <f t="shared" si="61"/>
        <v>69120</v>
      </c>
    </row>
    <row r="823" spans="5:9">
      <c r="E823" s="7" t="str">
        <f t="shared" si="59"/>
        <v>*</v>
      </c>
      <c r="H823" s="8">
        <f t="shared" si="60"/>
        <v>6488832</v>
      </c>
      <c r="I823" s="9">
        <f t="shared" si="61"/>
        <v>69120</v>
      </c>
    </row>
    <row r="824" spans="5:9">
      <c r="E824" s="7" t="str">
        <f t="shared" si="59"/>
        <v>*</v>
      </c>
      <c r="H824" s="8">
        <f t="shared" si="60"/>
        <v>6488832</v>
      </c>
      <c r="I824" s="9">
        <f t="shared" si="61"/>
        <v>69120</v>
      </c>
    </row>
    <row r="825" spans="5:9">
      <c r="E825" s="7" t="str">
        <f t="shared" si="59"/>
        <v>*</v>
      </c>
      <c r="H825" s="8">
        <f t="shared" si="60"/>
        <v>6488832</v>
      </c>
      <c r="I825" s="9">
        <f t="shared" si="61"/>
        <v>69120</v>
      </c>
    </row>
    <row r="826" spans="5:9">
      <c r="E826" s="7" t="str">
        <f t="shared" si="59"/>
        <v>*</v>
      </c>
      <c r="H826" s="8">
        <f t="shared" si="60"/>
        <v>6488832</v>
      </c>
      <c r="I826" s="9">
        <f t="shared" si="61"/>
        <v>69120</v>
      </c>
    </row>
    <row r="827" spans="5:9">
      <c r="E827" s="7" t="str">
        <f t="shared" si="59"/>
        <v>*</v>
      </c>
      <c r="H827" s="8">
        <f t="shared" si="60"/>
        <v>6488832</v>
      </c>
      <c r="I827" s="9">
        <f t="shared" si="61"/>
        <v>69120</v>
      </c>
    </row>
    <row r="828" spans="5:9">
      <c r="E828" s="7" t="str">
        <f t="shared" si="59"/>
        <v>*</v>
      </c>
      <c r="H828" s="8">
        <f t="shared" si="60"/>
        <v>6488832</v>
      </c>
      <c r="I828" s="9">
        <f t="shared" si="61"/>
        <v>69120</v>
      </c>
    </row>
    <row r="829" spans="5:9">
      <c r="E829" s="7" t="str">
        <f t="shared" si="59"/>
        <v>*</v>
      </c>
      <c r="H829" s="8">
        <f t="shared" si="60"/>
        <v>6488832</v>
      </c>
      <c r="I829" s="9">
        <f t="shared" si="61"/>
        <v>69120</v>
      </c>
    </row>
    <row r="830" spans="5:9">
      <c r="E830" s="7" t="str">
        <f t="shared" si="59"/>
        <v>*</v>
      </c>
      <c r="H830" s="8">
        <f t="shared" si="60"/>
        <v>6488832</v>
      </c>
      <c r="I830" s="9">
        <f t="shared" si="61"/>
        <v>69120</v>
      </c>
    </row>
    <row r="831" spans="5:9">
      <c r="E831" s="7" t="str">
        <f t="shared" si="59"/>
        <v>*</v>
      </c>
      <c r="H831" s="8">
        <f t="shared" si="60"/>
        <v>6488832</v>
      </c>
      <c r="I831" s="9">
        <f t="shared" si="61"/>
        <v>69120</v>
      </c>
    </row>
    <row r="832" spans="5:9">
      <c r="E832" s="7" t="str">
        <f t="shared" si="59"/>
        <v>*</v>
      </c>
      <c r="H832" s="8">
        <f t="shared" si="60"/>
        <v>6488832</v>
      </c>
      <c r="I832" s="9">
        <f t="shared" si="61"/>
        <v>69120</v>
      </c>
    </row>
    <row r="833" spans="5:9">
      <c r="E833" s="7" t="str">
        <f t="shared" si="59"/>
        <v>*</v>
      </c>
      <c r="H833" s="8">
        <f t="shared" si="60"/>
        <v>6488832</v>
      </c>
      <c r="I833" s="9">
        <f t="shared" si="61"/>
        <v>69120</v>
      </c>
    </row>
    <row r="834" spans="5:9">
      <c r="E834" s="7" t="str">
        <f t="shared" si="59"/>
        <v>*</v>
      </c>
      <c r="H834" s="8">
        <f t="shared" si="60"/>
        <v>6488832</v>
      </c>
      <c r="I834" s="9">
        <f t="shared" si="61"/>
        <v>69120</v>
      </c>
    </row>
    <row r="835" spans="5:9">
      <c r="E835" s="7" t="str">
        <f t="shared" si="59"/>
        <v>*</v>
      </c>
      <c r="H835" s="8">
        <f t="shared" si="60"/>
        <v>6488832</v>
      </c>
      <c r="I835" s="9">
        <f t="shared" si="61"/>
        <v>69120</v>
      </c>
    </row>
    <row r="836" spans="5:9">
      <c r="E836" s="7" t="str">
        <f t="shared" si="59"/>
        <v>*</v>
      </c>
      <c r="H836" s="8">
        <f t="shared" si="60"/>
        <v>6488832</v>
      </c>
      <c r="I836" s="9">
        <f t="shared" si="61"/>
        <v>69120</v>
      </c>
    </row>
    <row r="837" spans="5:9">
      <c r="E837" s="7" t="str">
        <f t="shared" si="59"/>
        <v>*</v>
      </c>
      <c r="H837" s="8">
        <f t="shared" si="60"/>
        <v>6488832</v>
      </c>
      <c r="I837" s="9">
        <f t="shared" si="61"/>
        <v>69120</v>
      </c>
    </row>
    <row r="838" spans="5:9">
      <c r="E838" s="7" t="str">
        <f t="shared" si="59"/>
        <v>*</v>
      </c>
      <c r="H838" s="8">
        <f t="shared" si="60"/>
        <v>6488832</v>
      </c>
      <c r="I838" s="9">
        <f t="shared" si="61"/>
        <v>69120</v>
      </c>
    </row>
    <row r="839" spans="5:9">
      <c r="E839" s="7" t="str">
        <f t="shared" si="59"/>
        <v>*</v>
      </c>
      <c r="H839" s="8">
        <f t="shared" si="60"/>
        <v>6488832</v>
      </c>
      <c r="I839" s="9">
        <f t="shared" si="61"/>
        <v>69120</v>
      </c>
    </row>
    <row r="840" spans="5:9">
      <c r="E840" s="7" t="str">
        <f t="shared" si="59"/>
        <v>*</v>
      </c>
      <c r="H840" s="8">
        <f t="shared" si="60"/>
        <v>6488832</v>
      </c>
      <c r="I840" s="9">
        <f t="shared" si="61"/>
        <v>69120</v>
      </c>
    </row>
    <row r="841" spans="5:9">
      <c r="E841" s="7" t="str">
        <f t="shared" si="59"/>
        <v>*</v>
      </c>
      <c r="H841" s="8">
        <f t="shared" si="60"/>
        <v>6488832</v>
      </c>
      <c r="I841" s="9">
        <f t="shared" si="61"/>
        <v>69120</v>
      </c>
    </row>
    <row r="842" spans="5:9">
      <c r="E842" s="7" t="str">
        <f t="shared" si="59"/>
        <v>*</v>
      </c>
      <c r="H842" s="8">
        <f t="shared" si="60"/>
        <v>6488832</v>
      </c>
      <c r="I842" s="9">
        <f t="shared" si="61"/>
        <v>69120</v>
      </c>
    </row>
    <row r="843" spans="5:9">
      <c r="E843" s="7" t="str">
        <f t="shared" si="59"/>
        <v>*</v>
      </c>
      <c r="H843" s="8">
        <f t="shared" si="60"/>
        <v>6488832</v>
      </c>
      <c r="I843" s="9">
        <f t="shared" si="61"/>
        <v>69120</v>
      </c>
    </row>
    <row r="844" spans="5:9">
      <c r="E844" s="7" t="str">
        <f t="shared" si="59"/>
        <v>*</v>
      </c>
      <c r="H844" s="8">
        <f t="shared" si="60"/>
        <v>6488832</v>
      </c>
      <c r="I844" s="9">
        <f t="shared" si="61"/>
        <v>69120</v>
      </c>
    </row>
    <row r="845" spans="5:9">
      <c r="E845" s="7" t="str">
        <f t="shared" si="59"/>
        <v>*</v>
      </c>
      <c r="H845" s="8">
        <f t="shared" si="60"/>
        <v>6488832</v>
      </c>
      <c r="I845" s="9">
        <f t="shared" si="61"/>
        <v>69120</v>
      </c>
    </row>
    <row r="846" spans="5:9">
      <c r="E846" s="7" t="str">
        <f t="shared" si="59"/>
        <v>*</v>
      </c>
      <c r="H846" s="8">
        <f t="shared" si="60"/>
        <v>6488832</v>
      </c>
      <c r="I846" s="9">
        <f t="shared" si="61"/>
        <v>69120</v>
      </c>
    </row>
    <row r="847" spans="5:9">
      <c r="E847" s="7" t="str">
        <f t="shared" si="59"/>
        <v>*</v>
      </c>
      <c r="H847" s="8">
        <f t="shared" si="60"/>
        <v>6488832</v>
      </c>
      <c r="I847" s="9">
        <f t="shared" si="61"/>
        <v>69120</v>
      </c>
    </row>
    <row r="848" spans="5:9">
      <c r="E848" s="7" t="str">
        <f t="shared" si="59"/>
        <v>*</v>
      </c>
      <c r="H848" s="8">
        <f t="shared" si="60"/>
        <v>6488832</v>
      </c>
      <c r="I848" s="9">
        <f t="shared" si="61"/>
        <v>69120</v>
      </c>
    </row>
    <row r="849" spans="5:9">
      <c r="E849" s="7" t="str">
        <f t="shared" si="59"/>
        <v>*</v>
      </c>
      <c r="H849" s="8">
        <f t="shared" si="60"/>
        <v>6488832</v>
      </c>
      <c r="I849" s="9">
        <f t="shared" si="61"/>
        <v>69120</v>
      </c>
    </row>
    <row r="850" spans="5:9">
      <c r="E850" s="7" t="str">
        <f t="shared" si="59"/>
        <v>*</v>
      </c>
      <c r="H850" s="8">
        <f t="shared" si="60"/>
        <v>6488832</v>
      </c>
      <c r="I850" s="9">
        <f t="shared" si="61"/>
        <v>69120</v>
      </c>
    </row>
    <row r="851" spans="5:9">
      <c r="E851" s="7" t="str">
        <f t="shared" si="59"/>
        <v>*</v>
      </c>
      <c r="H851" s="8">
        <f t="shared" si="60"/>
        <v>6488832</v>
      </c>
      <c r="I851" s="9">
        <f t="shared" si="61"/>
        <v>69120</v>
      </c>
    </row>
    <row r="852" spans="5:9">
      <c r="E852" s="7" t="str">
        <f t="shared" si="59"/>
        <v>*</v>
      </c>
      <c r="H852" s="8">
        <f t="shared" si="60"/>
        <v>6488832</v>
      </c>
      <c r="I852" s="9">
        <f t="shared" si="61"/>
        <v>69120</v>
      </c>
    </row>
    <row r="853" spans="5:9">
      <c r="E853" s="7" t="str">
        <f t="shared" si="59"/>
        <v>*</v>
      </c>
      <c r="H853" s="8">
        <f t="shared" si="60"/>
        <v>6488832</v>
      </c>
      <c r="I853" s="9">
        <f t="shared" si="61"/>
        <v>69120</v>
      </c>
    </row>
    <row r="854" spans="5:9">
      <c r="E854" s="7" t="str">
        <f t="shared" si="59"/>
        <v>*</v>
      </c>
      <c r="H854" s="8">
        <f t="shared" si="60"/>
        <v>6488832</v>
      </c>
      <c r="I854" s="9">
        <f t="shared" si="61"/>
        <v>69120</v>
      </c>
    </row>
    <row r="855" spans="5:9">
      <c r="E855" s="7" t="str">
        <f t="shared" si="59"/>
        <v>*</v>
      </c>
      <c r="H855" s="8">
        <f t="shared" si="60"/>
        <v>6488832</v>
      </c>
      <c r="I855" s="9">
        <f t="shared" si="61"/>
        <v>69120</v>
      </c>
    </row>
    <row r="856" spans="5:9">
      <c r="E856" s="7" t="str">
        <f t="shared" si="59"/>
        <v>*</v>
      </c>
      <c r="H856" s="8">
        <f t="shared" si="60"/>
        <v>6488832</v>
      </c>
      <c r="I856" s="9">
        <f t="shared" si="61"/>
        <v>69120</v>
      </c>
    </row>
    <row r="857" spans="5:9">
      <c r="E857" s="7" t="str">
        <f t="shared" si="59"/>
        <v>*</v>
      </c>
      <c r="H857" s="8">
        <f t="shared" si="60"/>
        <v>6488832</v>
      </c>
      <c r="I857" s="9">
        <f t="shared" si="61"/>
        <v>69120</v>
      </c>
    </row>
    <row r="858" spans="5:9">
      <c r="E858" s="7" t="str">
        <f t="shared" si="59"/>
        <v>*</v>
      </c>
      <c r="H858" s="8">
        <f t="shared" si="60"/>
        <v>6488832</v>
      </c>
      <c r="I858" s="9">
        <f t="shared" si="61"/>
        <v>69120</v>
      </c>
    </row>
    <row r="859" spans="5:9">
      <c r="E859" s="7" t="str">
        <f t="shared" si="59"/>
        <v>*</v>
      </c>
      <c r="H859" s="8">
        <f t="shared" si="60"/>
        <v>6488832</v>
      </c>
      <c r="I859" s="9">
        <f t="shared" si="61"/>
        <v>69120</v>
      </c>
    </row>
    <row r="860" spans="5:9">
      <c r="E860" s="7" t="str">
        <f t="shared" si="59"/>
        <v>*</v>
      </c>
      <c r="H860" s="8">
        <f t="shared" si="60"/>
        <v>6488832</v>
      </c>
      <c r="I860" s="9">
        <f t="shared" si="61"/>
        <v>69120</v>
      </c>
    </row>
    <row r="861" spans="5:9">
      <c r="E861" s="7" t="str">
        <f t="shared" si="59"/>
        <v>*</v>
      </c>
      <c r="H861" s="8">
        <f t="shared" si="60"/>
        <v>6488832</v>
      </c>
      <c r="I861" s="9">
        <f t="shared" si="61"/>
        <v>69120</v>
      </c>
    </row>
    <row r="862" spans="5:9">
      <c r="E862" s="7" t="str">
        <f t="shared" si="59"/>
        <v>*</v>
      </c>
      <c r="H862" s="8">
        <f t="shared" si="60"/>
        <v>6488832</v>
      </c>
      <c r="I862" s="9">
        <f t="shared" si="61"/>
        <v>69120</v>
      </c>
    </row>
    <row r="863" spans="5:9">
      <c r="E863" s="7" t="str">
        <f t="shared" si="59"/>
        <v>*</v>
      </c>
      <c r="H863" s="8">
        <f t="shared" si="60"/>
        <v>6488832</v>
      </c>
      <c r="I863" s="9">
        <f t="shared" si="61"/>
        <v>69120</v>
      </c>
    </row>
    <row r="864" spans="5:9">
      <c r="E864" s="7" t="str">
        <f t="shared" ref="E864:E927" si="62">IF(D864&gt;0,(C864/D864),"*")</f>
        <v>*</v>
      </c>
      <c r="H864" s="8">
        <f t="shared" ref="H864:H927" si="63">H863+C864</f>
        <v>6488832</v>
      </c>
      <c r="I864" s="9">
        <f t="shared" ref="I864:I927" si="64">I863+D864</f>
        <v>69120</v>
      </c>
    </row>
    <row r="865" spans="5:9">
      <c r="E865" s="7" t="str">
        <f t="shared" si="62"/>
        <v>*</v>
      </c>
      <c r="H865" s="8">
        <f t="shared" si="63"/>
        <v>6488832</v>
      </c>
      <c r="I865" s="9">
        <f t="shared" si="64"/>
        <v>69120</v>
      </c>
    </row>
    <row r="866" spans="5:9">
      <c r="E866" s="7" t="str">
        <f t="shared" si="62"/>
        <v>*</v>
      </c>
      <c r="H866" s="8">
        <f t="shared" si="63"/>
        <v>6488832</v>
      </c>
      <c r="I866" s="9">
        <f t="shared" si="64"/>
        <v>69120</v>
      </c>
    </row>
    <row r="867" spans="5:9">
      <c r="E867" s="7" t="str">
        <f t="shared" si="62"/>
        <v>*</v>
      </c>
      <c r="H867" s="8">
        <f t="shared" si="63"/>
        <v>6488832</v>
      </c>
      <c r="I867" s="9">
        <f t="shared" si="64"/>
        <v>69120</v>
      </c>
    </row>
    <row r="868" spans="5:9">
      <c r="E868" s="7" t="str">
        <f t="shared" si="62"/>
        <v>*</v>
      </c>
      <c r="H868" s="8">
        <f t="shared" si="63"/>
        <v>6488832</v>
      </c>
      <c r="I868" s="9">
        <f t="shared" si="64"/>
        <v>69120</v>
      </c>
    </row>
    <row r="869" spans="5:9">
      <c r="E869" s="7" t="str">
        <f t="shared" si="62"/>
        <v>*</v>
      </c>
      <c r="H869" s="8">
        <f t="shared" si="63"/>
        <v>6488832</v>
      </c>
      <c r="I869" s="9">
        <f t="shared" si="64"/>
        <v>69120</v>
      </c>
    </row>
    <row r="870" spans="5:9">
      <c r="E870" s="7" t="str">
        <f t="shared" si="62"/>
        <v>*</v>
      </c>
      <c r="H870" s="8">
        <f t="shared" si="63"/>
        <v>6488832</v>
      </c>
      <c r="I870" s="9">
        <f t="shared" si="64"/>
        <v>69120</v>
      </c>
    </row>
    <row r="871" spans="5:9">
      <c r="E871" s="7" t="str">
        <f t="shared" si="62"/>
        <v>*</v>
      </c>
      <c r="H871" s="8">
        <f t="shared" si="63"/>
        <v>6488832</v>
      </c>
      <c r="I871" s="9">
        <f t="shared" si="64"/>
        <v>69120</v>
      </c>
    </row>
    <row r="872" spans="5:9">
      <c r="E872" s="7" t="str">
        <f t="shared" si="62"/>
        <v>*</v>
      </c>
      <c r="H872" s="8">
        <f t="shared" si="63"/>
        <v>6488832</v>
      </c>
      <c r="I872" s="9">
        <f t="shared" si="64"/>
        <v>69120</v>
      </c>
    </row>
    <row r="873" spans="5:9">
      <c r="E873" s="7" t="str">
        <f t="shared" si="62"/>
        <v>*</v>
      </c>
      <c r="H873" s="8">
        <f t="shared" si="63"/>
        <v>6488832</v>
      </c>
      <c r="I873" s="9">
        <f t="shared" si="64"/>
        <v>69120</v>
      </c>
    </row>
    <row r="874" spans="5:9">
      <c r="E874" s="7" t="str">
        <f t="shared" si="62"/>
        <v>*</v>
      </c>
      <c r="H874" s="8">
        <f t="shared" si="63"/>
        <v>6488832</v>
      </c>
      <c r="I874" s="9">
        <f t="shared" si="64"/>
        <v>69120</v>
      </c>
    </row>
    <row r="875" spans="5:9">
      <c r="E875" s="7" t="str">
        <f t="shared" si="62"/>
        <v>*</v>
      </c>
      <c r="H875" s="8">
        <f t="shared" si="63"/>
        <v>6488832</v>
      </c>
      <c r="I875" s="9">
        <f t="shared" si="64"/>
        <v>69120</v>
      </c>
    </row>
    <row r="876" spans="5:9">
      <c r="E876" s="7" t="str">
        <f t="shared" si="62"/>
        <v>*</v>
      </c>
      <c r="H876" s="8">
        <f t="shared" si="63"/>
        <v>6488832</v>
      </c>
      <c r="I876" s="9">
        <f t="shared" si="64"/>
        <v>69120</v>
      </c>
    </row>
    <row r="877" spans="5:9">
      <c r="E877" s="7" t="str">
        <f t="shared" si="62"/>
        <v>*</v>
      </c>
      <c r="H877" s="8">
        <f t="shared" si="63"/>
        <v>6488832</v>
      </c>
      <c r="I877" s="9">
        <f t="shared" si="64"/>
        <v>69120</v>
      </c>
    </row>
    <row r="878" spans="5:9">
      <c r="E878" s="7" t="str">
        <f t="shared" si="62"/>
        <v>*</v>
      </c>
      <c r="H878" s="8">
        <f t="shared" si="63"/>
        <v>6488832</v>
      </c>
      <c r="I878" s="9">
        <f t="shared" si="64"/>
        <v>69120</v>
      </c>
    </row>
    <row r="879" spans="5:9">
      <c r="E879" s="7" t="str">
        <f t="shared" si="62"/>
        <v>*</v>
      </c>
      <c r="H879" s="8">
        <f t="shared" si="63"/>
        <v>6488832</v>
      </c>
      <c r="I879" s="9">
        <f t="shared" si="64"/>
        <v>69120</v>
      </c>
    </row>
    <row r="880" spans="5:9">
      <c r="E880" s="7" t="str">
        <f t="shared" si="62"/>
        <v>*</v>
      </c>
      <c r="H880" s="8">
        <f t="shared" si="63"/>
        <v>6488832</v>
      </c>
      <c r="I880" s="9">
        <f t="shared" si="64"/>
        <v>69120</v>
      </c>
    </row>
    <row r="881" spans="5:9">
      <c r="E881" s="7" t="str">
        <f t="shared" si="62"/>
        <v>*</v>
      </c>
      <c r="H881" s="8">
        <f t="shared" si="63"/>
        <v>6488832</v>
      </c>
      <c r="I881" s="9">
        <f t="shared" si="64"/>
        <v>69120</v>
      </c>
    </row>
    <row r="882" spans="5:9">
      <c r="E882" s="7" t="str">
        <f t="shared" si="62"/>
        <v>*</v>
      </c>
      <c r="H882" s="8">
        <f t="shared" si="63"/>
        <v>6488832</v>
      </c>
      <c r="I882" s="9">
        <f t="shared" si="64"/>
        <v>69120</v>
      </c>
    </row>
    <row r="883" spans="5:9">
      <c r="E883" s="7" t="str">
        <f t="shared" si="62"/>
        <v>*</v>
      </c>
      <c r="H883" s="8">
        <f t="shared" si="63"/>
        <v>6488832</v>
      </c>
      <c r="I883" s="9">
        <f t="shared" si="64"/>
        <v>69120</v>
      </c>
    </row>
    <row r="884" spans="5:9">
      <c r="E884" s="7" t="str">
        <f t="shared" si="62"/>
        <v>*</v>
      </c>
      <c r="H884" s="8">
        <f t="shared" si="63"/>
        <v>6488832</v>
      </c>
      <c r="I884" s="9">
        <f t="shared" si="64"/>
        <v>69120</v>
      </c>
    </row>
    <row r="885" spans="5:9">
      <c r="E885" s="7" t="str">
        <f t="shared" si="62"/>
        <v>*</v>
      </c>
      <c r="H885" s="8">
        <f t="shared" si="63"/>
        <v>6488832</v>
      </c>
      <c r="I885" s="9">
        <f t="shared" si="64"/>
        <v>69120</v>
      </c>
    </row>
    <row r="886" spans="5:9">
      <c r="E886" s="7" t="str">
        <f t="shared" si="62"/>
        <v>*</v>
      </c>
      <c r="H886" s="8">
        <f t="shared" si="63"/>
        <v>6488832</v>
      </c>
      <c r="I886" s="9">
        <f t="shared" si="64"/>
        <v>69120</v>
      </c>
    </row>
    <row r="887" spans="5:9">
      <c r="E887" s="7" t="str">
        <f t="shared" si="62"/>
        <v>*</v>
      </c>
      <c r="H887" s="8">
        <f t="shared" si="63"/>
        <v>6488832</v>
      </c>
      <c r="I887" s="9">
        <f t="shared" si="64"/>
        <v>69120</v>
      </c>
    </row>
    <row r="888" spans="5:9">
      <c r="E888" s="7" t="str">
        <f t="shared" si="62"/>
        <v>*</v>
      </c>
      <c r="H888" s="8">
        <f t="shared" si="63"/>
        <v>6488832</v>
      </c>
      <c r="I888" s="9">
        <f t="shared" si="64"/>
        <v>69120</v>
      </c>
    </row>
    <row r="889" spans="5:9">
      <c r="E889" s="7" t="str">
        <f t="shared" si="62"/>
        <v>*</v>
      </c>
      <c r="H889" s="8">
        <f t="shared" si="63"/>
        <v>6488832</v>
      </c>
      <c r="I889" s="9">
        <f t="shared" si="64"/>
        <v>69120</v>
      </c>
    </row>
    <row r="890" spans="5:9">
      <c r="E890" s="7" t="str">
        <f t="shared" si="62"/>
        <v>*</v>
      </c>
      <c r="H890" s="8">
        <f t="shared" si="63"/>
        <v>6488832</v>
      </c>
      <c r="I890" s="9">
        <f t="shared" si="64"/>
        <v>69120</v>
      </c>
    </row>
    <row r="891" spans="5:9">
      <c r="E891" s="7" t="str">
        <f t="shared" si="62"/>
        <v>*</v>
      </c>
      <c r="H891" s="8">
        <f t="shared" si="63"/>
        <v>6488832</v>
      </c>
      <c r="I891" s="9">
        <f t="shared" si="64"/>
        <v>69120</v>
      </c>
    </row>
    <row r="892" spans="5:9">
      <c r="E892" s="7" t="str">
        <f t="shared" si="62"/>
        <v>*</v>
      </c>
      <c r="H892" s="8">
        <f t="shared" si="63"/>
        <v>6488832</v>
      </c>
      <c r="I892" s="9">
        <f t="shared" si="64"/>
        <v>69120</v>
      </c>
    </row>
    <row r="893" spans="5:9">
      <c r="E893" s="7" t="str">
        <f t="shared" si="62"/>
        <v>*</v>
      </c>
      <c r="H893" s="8">
        <f t="shared" si="63"/>
        <v>6488832</v>
      </c>
      <c r="I893" s="9">
        <f t="shared" si="64"/>
        <v>69120</v>
      </c>
    </row>
    <row r="894" spans="5:9">
      <c r="E894" s="7" t="str">
        <f t="shared" si="62"/>
        <v>*</v>
      </c>
      <c r="H894" s="8">
        <f t="shared" si="63"/>
        <v>6488832</v>
      </c>
      <c r="I894" s="9">
        <f t="shared" si="64"/>
        <v>69120</v>
      </c>
    </row>
    <row r="895" spans="5:9">
      <c r="E895" s="7" t="str">
        <f t="shared" si="62"/>
        <v>*</v>
      </c>
      <c r="H895" s="8">
        <f t="shared" si="63"/>
        <v>6488832</v>
      </c>
      <c r="I895" s="9">
        <f t="shared" si="64"/>
        <v>69120</v>
      </c>
    </row>
    <row r="896" spans="5:9">
      <c r="E896" s="7" t="str">
        <f t="shared" si="62"/>
        <v>*</v>
      </c>
      <c r="H896" s="8">
        <f t="shared" si="63"/>
        <v>6488832</v>
      </c>
      <c r="I896" s="9">
        <f t="shared" si="64"/>
        <v>69120</v>
      </c>
    </row>
    <row r="897" spans="5:9">
      <c r="E897" s="7" t="str">
        <f t="shared" si="62"/>
        <v>*</v>
      </c>
      <c r="H897" s="8">
        <f t="shared" si="63"/>
        <v>6488832</v>
      </c>
      <c r="I897" s="9">
        <f t="shared" si="64"/>
        <v>69120</v>
      </c>
    </row>
    <row r="898" spans="5:9">
      <c r="E898" s="7" t="str">
        <f t="shared" si="62"/>
        <v>*</v>
      </c>
      <c r="H898" s="8">
        <f t="shared" si="63"/>
        <v>6488832</v>
      </c>
      <c r="I898" s="9">
        <f t="shared" si="64"/>
        <v>69120</v>
      </c>
    </row>
    <row r="899" spans="5:9">
      <c r="E899" s="7" t="str">
        <f t="shared" si="62"/>
        <v>*</v>
      </c>
      <c r="H899" s="8">
        <f t="shared" si="63"/>
        <v>6488832</v>
      </c>
      <c r="I899" s="9">
        <f t="shared" si="64"/>
        <v>69120</v>
      </c>
    </row>
    <row r="900" spans="5:9">
      <c r="E900" s="7" t="str">
        <f t="shared" si="62"/>
        <v>*</v>
      </c>
      <c r="H900" s="8">
        <f t="shared" si="63"/>
        <v>6488832</v>
      </c>
      <c r="I900" s="9">
        <f t="shared" si="64"/>
        <v>69120</v>
      </c>
    </row>
    <row r="901" spans="5:9">
      <c r="E901" s="7" t="str">
        <f t="shared" si="62"/>
        <v>*</v>
      </c>
      <c r="H901" s="8">
        <f t="shared" si="63"/>
        <v>6488832</v>
      </c>
      <c r="I901" s="9">
        <f t="shared" si="64"/>
        <v>69120</v>
      </c>
    </row>
    <row r="902" spans="5:9">
      <c r="E902" s="7" t="str">
        <f t="shared" si="62"/>
        <v>*</v>
      </c>
      <c r="H902" s="8">
        <f t="shared" si="63"/>
        <v>6488832</v>
      </c>
      <c r="I902" s="9">
        <f t="shared" si="64"/>
        <v>69120</v>
      </c>
    </row>
    <row r="903" spans="5:9">
      <c r="E903" s="7" t="str">
        <f t="shared" si="62"/>
        <v>*</v>
      </c>
      <c r="H903" s="8">
        <f t="shared" si="63"/>
        <v>6488832</v>
      </c>
      <c r="I903" s="9">
        <f t="shared" si="64"/>
        <v>69120</v>
      </c>
    </row>
    <row r="904" spans="5:9">
      <c r="E904" s="7" t="str">
        <f t="shared" si="62"/>
        <v>*</v>
      </c>
      <c r="H904" s="8">
        <f t="shared" si="63"/>
        <v>6488832</v>
      </c>
      <c r="I904" s="9">
        <f t="shared" si="64"/>
        <v>69120</v>
      </c>
    </row>
    <row r="905" spans="5:9">
      <c r="E905" s="7" t="str">
        <f t="shared" si="62"/>
        <v>*</v>
      </c>
      <c r="H905" s="8">
        <f t="shared" si="63"/>
        <v>6488832</v>
      </c>
      <c r="I905" s="9">
        <f t="shared" si="64"/>
        <v>69120</v>
      </c>
    </row>
    <row r="906" spans="5:9">
      <c r="E906" s="7" t="str">
        <f t="shared" si="62"/>
        <v>*</v>
      </c>
      <c r="H906" s="8">
        <f t="shared" si="63"/>
        <v>6488832</v>
      </c>
      <c r="I906" s="9">
        <f t="shared" si="64"/>
        <v>69120</v>
      </c>
    </row>
    <row r="907" spans="5:9">
      <c r="E907" s="7" t="str">
        <f t="shared" si="62"/>
        <v>*</v>
      </c>
      <c r="H907" s="8">
        <f t="shared" si="63"/>
        <v>6488832</v>
      </c>
      <c r="I907" s="9">
        <f t="shared" si="64"/>
        <v>69120</v>
      </c>
    </row>
    <row r="908" spans="5:9">
      <c r="E908" s="7" t="str">
        <f t="shared" si="62"/>
        <v>*</v>
      </c>
      <c r="H908" s="8">
        <f t="shared" si="63"/>
        <v>6488832</v>
      </c>
      <c r="I908" s="9">
        <f t="shared" si="64"/>
        <v>69120</v>
      </c>
    </row>
    <row r="909" spans="5:9">
      <c r="E909" s="7" t="str">
        <f t="shared" si="62"/>
        <v>*</v>
      </c>
      <c r="H909" s="8">
        <f t="shared" si="63"/>
        <v>6488832</v>
      </c>
      <c r="I909" s="9">
        <f t="shared" si="64"/>
        <v>69120</v>
      </c>
    </row>
    <row r="910" spans="5:9">
      <c r="E910" s="7" t="str">
        <f t="shared" si="62"/>
        <v>*</v>
      </c>
      <c r="H910" s="8">
        <f t="shared" si="63"/>
        <v>6488832</v>
      </c>
      <c r="I910" s="9">
        <f t="shared" si="64"/>
        <v>69120</v>
      </c>
    </row>
    <row r="911" spans="5:9">
      <c r="E911" s="7" t="str">
        <f t="shared" si="62"/>
        <v>*</v>
      </c>
      <c r="H911" s="8">
        <f t="shared" si="63"/>
        <v>6488832</v>
      </c>
      <c r="I911" s="9">
        <f t="shared" si="64"/>
        <v>69120</v>
      </c>
    </row>
    <row r="912" spans="5:9">
      <c r="E912" s="7" t="str">
        <f t="shared" si="62"/>
        <v>*</v>
      </c>
      <c r="H912" s="8">
        <f t="shared" si="63"/>
        <v>6488832</v>
      </c>
      <c r="I912" s="9">
        <f t="shared" si="64"/>
        <v>69120</v>
      </c>
    </row>
    <row r="913" spans="5:9">
      <c r="E913" s="7" t="str">
        <f t="shared" si="62"/>
        <v>*</v>
      </c>
      <c r="H913" s="8">
        <f t="shared" si="63"/>
        <v>6488832</v>
      </c>
      <c r="I913" s="9">
        <f t="shared" si="64"/>
        <v>69120</v>
      </c>
    </row>
    <row r="914" spans="5:9">
      <c r="E914" s="7" t="str">
        <f t="shared" si="62"/>
        <v>*</v>
      </c>
      <c r="H914" s="8">
        <f t="shared" si="63"/>
        <v>6488832</v>
      </c>
      <c r="I914" s="9">
        <f t="shared" si="64"/>
        <v>69120</v>
      </c>
    </row>
    <row r="915" spans="5:9">
      <c r="E915" s="7" t="str">
        <f t="shared" si="62"/>
        <v>*</v>
      </c>
      <c r="H915" s="8">
        <f t="shared" si="63"/>
        <v>6488832</v>
      </c>
      <c r="I915" s="9">
        <f t="shared" si="64"/>
        <v>69120</v>
      </c>
    </row>
    <row r="916" spans="5:9">
      <c r="E916" s="7" t="str">
        <f t="shared" si="62"/>
        <v>*</v>
      </c>
      <c r="H916" s="8">
        <f t="shared" si="63"/>
        <v>6488832</v>
      </c>
      <c r="I916" s="9">
        <f t="shared" si="64"/>
        <v>69120</v>
      </c>
    </row>
    <row r="917" spans="5:9">
      <c r="E917" s="7" t="str">
        <f t="shared" si="62"/>
        <v>*</v>
      </c>
      <c r="H917" s="8">
        <f t="shared" si="63"/>
        <v>6488832</v>
      </c>
      <c r="I917" s="9">
        <f t="shared" si="64"/>
        <v>69120</v>
      </c>
    </row>
    <row r="918" spans="5:9">
      <c r="E918" s="7" t="str">
        <f t="shared" si="62"/>
        <v>*</v>
      </c>
      <c r="H918" s="8">
        <f t="shared" si="63"/>
        <v>6488832</v>
      </c>
      <c r="I918" s="9">
        <f t="shared" si="64"/>
        <v>69120</v>
      </c>
    </row>
    <row r="919" spans="5:9">
      <c r="E919" s="7" t="str">
        <f t="shared" si="62"/>
        <v>*</v>
      </c>
      <c r="H919" s="8">
        <f t="shared" si="63"/>
        <v>6488832</v>
      </c>
      <c r="I919" s="9">
        <f t="shared" si="64"/>
        <v>69120</v>
      </c>
    </row>
    <row r="920" spans="5:9">
      <c r="E920" s="7" t="str">
        <f t="shared" si="62"/>
        <v>*</v>
      </c>
      <c r="H920" s="8">
        <f t="shared" si="63"/>
        <v>6488832</v>
      </c>
      <c r="I920" s="9">
        <f t="shared" si="64"/>
        <v>69120</v>
      </c>
    </row>
    <row r="921" spans="5:9">
      <c r="E921" s="7" t="str">
        <f t="shared" si="62"/>
        <v>*</v>
      </c>
      <c r="H921" s="8">
        <f t="shared" si="63"/>
        <v>6488832</v>
      </c>
      <c r="I921" s="9">
        <f t="shared" si="64"/>
        <v>69120</v>
      </c>
    </row>
    <row r="922" spans="5:9">
      <c r="E922" s="7" t="str">
        <f t="shared" si="62"/>
        <v>*</v>
      </c>
      <c r="H922" s="8">
        <f t="shared" si="63"/>
        <v>6488832</v>
      </c>
      <c r="I922" s="9">
        <f t="shared" si="64"/>
        <v>69120</v>
      </c>
    </row>
    <row r="923" spans="5:9">
      <c r="E923" s="7" t="str">
        <f t="shared" si="62"/>
        <v>*</v>
      </c>
      <c r="H923" s="8">
        <f t="shared" si="63"/>
        <v>6488832</v>
      </c>
      <c r="I923" s="9">
        <f t="shared" si="64"/>
        <v>69120</v>
      </c>
    </row>
    <row r="924" spans="5:9">
      <c r="E924" s="7" t="str">
        <f t="shared" si="62"/>
        <v>*</v>
      </c>
      <c r="H924" s="8">
        <f t="shared" si="63"/>
        <v>6488832</v>
      </c>
      <c r="I924" s="9">
        <f t="shared" si="64"/>
        <v>69120</v>
      </c>
    </row>
    <row r="925" spans="5:9">
      <c r="E925" s="7" t="str">
        <f t="shared" si="62"/>
        <v>*</v>
      </c>
      <c r="H925" s="8">
        <f t="shared" si="63"/>
        <v>6488832</v>
      </c>
      <c r="I925" s="9">
        <f t="shared" si="64"/>
        <v>69120</v>
      </c>
    </row>
    <row r="926" spans="5:9">
      <c r="E926" s="7" t="str">
        <f t="shared" si="62"/>
        <v>*</v>
      </c>
      <c r="H926" s="8">
        <f t="shared" si="63"/>
        <v>6488832</v>
      </c>
      <c r="I926" s="9">
        <f t="shared" si="64"/>
        <v>69120</v>
      </c>
    </row>
    <row r="927" spans="5:9">
      <c r="E927" s="7" t="str">
        <f t="shared" si="62"/>
        <v>*</v>
      </c>
      <c r="H927" s="8">
        <f t="shared" si="63"/>
        <v>6488832</v>
      </c>
      <c r="I927" s="9">
        <f t="shared" si="64"/>
        <v>69120</v>
      </c>
    </row>
    <row r="928" spans="5:9">
      <c r="E928" s="7" t="str">
        <f t="shared" ref="E928:E991" si="65">IF(D928&gt;0,(C928/D928),"*")</f>
        <v>*</v>
      </c>
      <c r="H928" s="8">
        <f t="shared" ref="H928:H991" si="66">H927+C928</f>
        <v>6488832</v>
      </c>
      <c r="I928" s="9">
        <f t="shared" ref="I928:I991" si="67">I927+D928</f>
        <v>69120</v>
      </c>
    </row>
    <row r="929" spans="5:9">
      <c r="E929" s="7" t="str">
        <f t="shared" si="65"/>
        <v>*</v>
      </c>
      <c r="H929" s="8">
        <f t="shared" si="66"/>
        <v>6488832</v>
      </c>
      <c r="I929" s="9">
        <f t="shared" si="67"/>
        <v>69120</v>
      </c>
    </row>
    <row r="930" spans="5:9">
      <c r="E930" s="7" t="str">
        <f t="shared" si="65"/>
        <v>*</v>
      </c>
      <c r="H930" s="8">
        <f t="shared" si="66"/>
        <v>6488832</v>
      </c>
      <c r="I930" s="9">
        <f t="shared" si="67"/>
        <v>69120</v>
      </c>
    </row>
    <row r="931" spans="5:9">
      <c r="E931" s="7" t="str">
        <f t="shared" si="65"/>
        <v>*</v>
      </c>
      <c r="H931" s="8">
        <f t="shared" si="66"/>
        <v>6488832</v>
      </c>
      <c r="I931" s="9">
        <f t="shared" si="67"/>
        <v>69120</v>
      </c>
    </row>
    <row r="932" spans="5:9">
      <c r="E932" s="7" t="str">
        <f t="shared" si="65"/>
        <v>*</v>
      </c>
      <c r="H932" s="8">
        <f t="shared" si="66"/>
        <v>6488832</v>
      </c>
      <c r="I932" s="9">
        <f t="shared" si="67"/>
        <v>69120</v>
      </c>
    </row>
    <row r="933" spans="5:9">
      <c r="E933" s="7" t="str">
        <f t="shared" si="65"/>
        <v>*</v>
      </c>
      <c r="H933" s="8">
        <f t="shared" si="66"/>
        <v>6488832</v>
      </c>
      <c r="I933" s="9">
        <f t="shared" si="67"/>
        <v>69120</v>
      </c>
    </row>
    <row r="934" spans="5:9">
      <c r="E934" s="7" t="str">
        <f t="shared" si="65"/>
        <v>*</v>
      </c>
      <c r="H934" s="8">
        <f t="shared" si="66"/>
        <v>6488832</v>
      </c>
      <c r="I934" s="9">
        <f t="shared" si="67"/>
        <v>69120</v>
      </c>
    </row>
    <row r="935" spans="5:9">
      <c r="E935" s="7" t="str">
        <f t="shared" si="65"/>
        <v>*</v>
      </c>
      <c r="H935" s="8">
        <f t="shared" si="66"/>
        <v>6488832</v>
      </c>
      <c r="I935" s="9">
        <f t="shared" si="67"/>
        <v>69120</v>
      </c>
    </row>
    <row r="936" spans="5:9">
      <c r="E936" s="7" t="str">
        <f t="shared" si="65"/>
        <v>*</v>
      </c>
      <c r="H936" s="8">
        <f t="shared" si="66"/>
        <v>6488832</v>
      </c>
      <c r="I936" s="9">
        <f t="shared" si="67"/>
        <v>69120</v>
      </c>
    </row>
    <row r="937" spans="5:9">
      <c r="E937" s="7" t="str">
        <f t="shared" si="65"/>
        <v>*</v>
      </c>
      <c r="H937" s="8">
        <f t="shared" si="66"/>
        <v>6488832</v>
      </c>
      <c r="I937" s="9">
        <f t="shared" si="67"/>
        <v>69120</v>
      </c>
    </row>
    <row r="938" spans="5:9">
      <c r="E938" s="7" t="str">
        <f t="shared" si="65"/>
        <v>*</v>
      </c>
      <c r="H938" s="8">
        <f t="shared" si="66"/>
        <v>6488832</v>
      </c>
      <c r="I938" s="9">
        <f t="shared" si="67"/>
        <v>69120</v>
      </c>
    </row>
    <row r="939" spans="5:9">
      <c r="E939" s="7" t="str">
        <f t="shared" si="65"/>
        <v>*</v>
      </c>
      <c r="H939" s="8">
        <f t="shared" si="66"/>
        <v>6488832</v>
      </c>
      <c r="I939" s="9">
        <f t="shared" si="67"/>
        <v>69120</v>
      </c>
    </row>
    <row r="940" spans="5:9">
      <c r="E940" s="7" t="str">
        <f t="shared" si="65"/>
        <v>*</v>
      </c>
      <c r="H940" s="8">
        <f t="shared" si="66"/>
        <v>6488832</v>
      </c>
      <c r="I940" s="9">
        <f t="shared" si="67"/>
        <v>69120</v>
      </c>
    </row>
    <row r="941" spans="5:9">
      <c r="E941" s="7" t="str">
        <f t="shared" si="65"/>
        <v>*</v>
      </c>
      <c r="H941" s="8">
        <f t="shared" si="66"/>
        <v>6488832</v>
      </c>
      <c r="I941" s="9">
        <f t="shared" si="67"/>
        <v>69120</v>
      </c>
    </row>
    <row r="942" spans="5:9">
      <c r="E942" s="7" t="str">
        <f t="shared" si="65"/>
        <v>*</v>
      </c>
      <c r="H942" s="8">
        <f t="shared" si="66"/>
        <v>6488832</v>
      </c>
      <c r="I942" s="9">
        <f t="shared" si="67"/>
        <v>69120</v>
      </c>
    </row>
    <row r="943" spans="5:9">
      <c r="E943" s="7" t="str">
        <f t="shared" si="65"/>
        <v>*</v>
      </c>
      <c r="H943" s="8">
        <f t="shared" si="66"/>
        <v>6488832</v>
      </c>
      <c r="I943" s="9">
        <f t="shared" si="67"/>
        <v>69120</v>
      </c>
    </row>
    <row r="944" spans="5:9">
      <c r="E944" s="7" t="str">
        <f t="shared" si="65"/>
        <v>*</v>
      </c>
      <c r="H944" s="8">
        <f t="shared" si="66"/>
        <v>6488832</v>
      </c>
      <c r="I944" s="9">
        <f t="shared" si="67"/>
        <v>69120</v>
      </c>
    </row>
    <row r="945" spans="5:9">
      <c r="E945" s="7" t="str">
        <f t="shared" si="65"/>
        <v>*</v>
      </c>
      <c r="H945" s="8">
        <f t="shared" si="66"/>
        <v>6488832</v>
      </c>
      <c r="I945" s="9">
        <f t="shared" si="67"/>
        <v>69120</v>
      </c>
    </row>
    <row r="946" spans="5:9">
      <c r="E946" s="7" t="str">
        <f t="shared" si="65"/>
        <v>*</v>
      </c>
      <c r="H946" s="8">
        <f t="shared" si="66"/>
        <v>6488832</v>
      </c>
      <c r="I946" s="9">
        <f t="shared" si="67"/>
        <v>69120</v>
      </c>
    </row>
    <row r="947" spans="5:9">
      <c r="E947" s="7" t="str">
        <f t="shared" si="65"/>
        <v>*</v>
      </c>
      <c r="H947" s="8">
        <f t="shared" si="66"/>
        <v>6488832</v>
      </c>
      <c r="I947" s="9">
        <f t="shared" si="67"/>
        <v>69120</v>
      </c>
    </row>
    <row r="948" spans="5:9">
      <c r="E948" s="7" t="str">
        <f t="shared" si="65"/>
        <v>*</v>
      </c>
      <c r="H948" s="8">
        <f t="shared" si="66"/>
        <v>6488832</v>
      </c>
      <c r="I948" s="9">
        <f t="shared" si="67"/>
        <v>69120</v>
      </c>
    </row>
    <row r="949" spans="5:9">
      <c r="E949" s="7" t="str">
        <f t="shared" si="65"/>
        <v>*</v>
      </c>
      <c r="H949" s="8">
        <f t="shared" si="66"/>
        <v>6488832</v>
      </c>
      <c r="I949" s="9">
        <f t="shared" si="67"/>
        <v>69120</v>
      </c>
    </row>
    <row r="950" spans="5:9">
      <c r="E950" s="7" t="str">
        <f t="shared" si="65"/>
        <v>*</v>
      </c>
      <c r="H950" s="8">
        <f t="shared" si="66"/>
        <v>6488832</v>
      </c>
      <c r="I950" s="9">
        <f t="shared" si="67"/>
        <v>69120</v>
      </c>
    </row>
    <row r="951" spans="5:9">
      <c r="E951" s="7" t="str">
        <f t="shared" si="65"/>
        <v>*</v>
      </c>
      <c r="H951" s="8">
        <f t="shared" si="66"/>
        <v>6488832</v>
      </c>
      <c r="I951" s="9">
        <f t="shared" si="67"/>
        <v>69120</v>
      </c>
    </row>
    <row r="952" spans="5:9">
      <c r="E952" s="7" t="str">
        <f t="shared" si="65"/>
        <v>*</v>
      </c>
      <c r="H952" s="8">
        <f t="shared" si="66"/>
        <v>6488832</v>
      </c>
      <c r="I952" s="9">
        <f t="shared" si="67"/>
        <v>69120</v>
      </c>
    </row>
    <row r="953" spans="5:9">
      <c r="E953" s="7" t="str">
        <f t="shared" si="65"/>
        <v>*</v>
      </c>
      <c r="H953" s="8">
        <f t="shared" si="66"/>
        <v>6488832</v>
      </c>
      <c r="I953" s="9">
        <f t="shared" si="67"/>
        <v>69120</v>
      </c>
    </row>
    <row r="954" spans="5:9">
      <c r="E954" s="7" t="str">
        <f t="shared" si="65"/>
        <v>*</v>
      </c>
      <c r="H954" s="8">
        <f t="shared" si="66"/>
        <v>6488832</v>
      </c>
      <c r="I954" s="9">
        <f t="shared" si="67"/>
        <v>69120</v>
      </c>
    </row>
    <row r="955" spans="5:9">
      <c r="E955" s="7" t="str">
        <f t="shared" si="65"/>
        <v>*</v>
      </c>
      <c r="H955" s="8">
        <f t="shared" si="66"/>
        <v>6488832</v>
      </c>
      <c r="I955" s="9">
        <f t="shared" si="67"/>
        <v>69120</v>
      </c>
    </row>
    <row r="956" spans="5:9">
      <c r="E956" s="7" t="str">
        <f t="shared" si="65"/>
        <v>*</v>
      </c>
      <c r="H956" s="8">
        <f t="shared" si="66"/>
        <v>6488832</v>
      </c>
      <c r="I956" s="9">
        <f t="shared" si="67"/>
        <v>69120</v>
      </c>
    </row>
    <row r="957" spans="5:9">
      <c r="E957" s="7" t="str">
        <f t="shared" si="65"/>
        <v>*</v>
      </c>
      <c r="H957" s="8">
        <f t="shared" si="66"/>
        <v>6488832</v>
      </c>
      <c r="I957" s="9">
        <f t="shared" si="67"/>
        <v>69120</v>
      </c>
    </row>
    <row r="958" spans="5:9">
      <c r="E958" s="7" t="str">
        <f t="shared" si="65"/>
        <v>*</v>
      </c>
      <c r="H958" s="8">
        <f t="shared" si="66"/>
        <v>6488832</v>
      </c>
      <c r="I958" s="9">
        <f t="shared" si="67"/>
        <v>69120</v>
      </c>
    </row>
    <row r="959" spans="5:9">
      <c r="E959" s="7" t="str">
        <f t="shared" si="65"/>
        <v>*</v>
      </c>
      <c r="H959" s="8">
        <f t="shared" si="66"/>
        <v>6488832</v>
      </c>
      <c r="I959" s="9">
        <f t="shared" si="67"/>
        <v>69120</v>
      </c>
    </row>
    <row r="960" spans="5:9">
      <c r="E960" s="7" t="str">
        <f t="shared" si="65"/>
        <v>*</v>
      </c>
      <c r="H960" s="8">
        <f t="shared" si="66"/>
        <v>6488832</v>
      </c>
      <c r="I960" s="9">
        <f t="shared" si="67"/>
        <v>69120</v>
      </c>
    </row>
    <row r="961" spans="5:9">
      <c r="E961" s="7" t="str">
        <f t="shared" si="65"/>
        <v>*</v>
      </c>
      <c r="H961" s="8">
        <f t="shared" si="66"/>
        <v>6488832</v>
      </c>
      <c r="I961" s="9">
        <f t="shared" si="67"/>
        <v>69120</v>
      </c>
    </row>
    <row r="962" spans="5:9">
      <c r="E962" s="7" t="str">
        <f t="shared" si="65"/>
        <v>*</v>
      </c>
      <c r="H962" s="8">
        <f t="shared" si="66"/>
        <v>6488832</v>
      </c>
      <c r="I962" s="9">
        <f t="shared" si="67"/>
        <v>69120</v>
      </c>
    </row>
    <row r="963" spans="5:9">
      <c r="E963" s="7" t="str">
        <f t="shared" si="65"/>
        <v>*</v>
      </c>
      <c r="H963" s="8">
        <f t="shared" si="66"/>
        <v>6488832</v>
      </c>
      <c r="I963" s="9">
        <f t="shared" si="67"/>
        <v>69120</v>
      </c>
    </row>
    <row r="964" spans="5:9">
      <c r="E964" s="7" t="str">
        <f t="shared" si="65"/>
        <v>*</v>
      </c>
      <c r="H964" s="8">
        <f t="shared" si="66"/>
        <v>6488832</v>
      </c>
      <c r="I964" s="9">
        <f t="shared" si="67"/>
        <v>69120</v>
      </c>
    </row>
    <row r="965" spans="5:9">
      <c r="E965" s="7" t="str">
        <f t="shared" si="65"/>
        <v>*</v>
      </c>
      <c r="H965" s="8">
        <f t="shared" si="66"/>
        <v>6488832</v>
      </c>
      <c r="I965" s="9">
        <f t="shared" si="67"/>
        <v>69120</v>
      </c>
    </row>
    <row r="966" spans="5:9">
      <c r="E966" s="7" t="str">
        <f t="shared" si="65"/>
        <v>*</v>
      </c>
      <c r="H966" s="8">
        <f t="shared" si="66"/>
        <v>6488832</v>
      </c>
      <c r="I966" s="9">
        <f t="shared" si="67"/>
        <v>69120</v>
      </c>
    </row>
    <row r="967" spans="5:9">
      <c r="E967" s="7" t="str">
        <f t="shared" si="65"/>
        <v>*</v>
      </c>
      <c r="H967" s="8">
        <f t="shared" si="66"/>
        <v>6488832</v>
      </c>
      <c r="I967" s="9">
        <f t="shared" si="67"/>
        <v>69120</v>
      </c>
    </row>
    <row r="968" spans="5:9">
      <c r="E968" s="7" t="str">
        <f t="shared" si="65"/>
        <v>*</v>
      </c>
      <c r="H968" s="8">
        <f t="shared" si="66"/>
        <v>6488832</v>
      </c>
      <c r="I968" s="9">
        <f t="shared" si="67"/>
        <v>69120</v>
      </c>
    </row>
    <row r="969" spans="5:9">
      <c r="E969" s="7" t="str">
        <f t="shared" si="65"/>
        <v>*</v>
      </c>
      <c r="H969" s="8">
        <f t="shared" si="66"/>
        <v>6488832</v>
      </c>
      <c r="I969" s="9">
        <f t="shared" si="67"/>
        <v>69120</v>
      </c>
    </row>
    <row r="970" spans="5:9">
      <c r="E970" s="7" t="str">
        <f t="shared" si="65"/>
        <v>*</v>
      </c>
      <c r="H970" s="8">
        <f t="shared" si="66"/>
        <v>6488832</v>
      </c>
      <c r="I970" s="9">
        <f t="shared" si="67"/>
        <v>69120</v>
      </c>
    </row>
    <row r="971" spans="5:9">
      <c r="E971" s="7" t="str">
        <f t="shared" si="65"/>
        <v>*</v>
      </c>
      <c r="H971" s="8">
        <f t="shared" si="66"/>
        <v>6488832</v>
      </c>
      <c r="I971" s="9">
        <f t="shared" si="67"/>
        <v>69120</v>
      </c>
    </row>
    <row r="972" spans="5:9">
      <c r="E972" s="7" t="str">
        <f t="shared" si="65"/>
        <v>*</v>
      </c>
      <c r="H972" s="8">
        <f t="shared" si="66"/>
        <v>6488832</v>
      </c>
      <c r="I972" s="9">
        <f t="shared" si="67"/>
        <v>69120</v>
      </c>
    </row>
    <row r="973" spans="5:9">
      <c r="E973" s="7" t="str">
        <f t="shared" si="65"/>
        <v>*</v>
      </c>
      <c r="H973" s="8">
        <f t="shared" si="66"/>
        <v>6488832</v>
      </c>
      <c r="I973" s="9">
        <f t="shared" si="67"/>
        <v>69120</v>
      </c>
    </row>
    <row r="974" spans="5:9">
      <c r="E974" s="7" t="str">
        <f t="shared" si="65"/>
        <v>*</v>
      </c>
      <c r="H974" s="8">
        <f t="shared" si="66"/>
        <v>6488832</v>
      </c>
      <c r="I974" s="9">
        <f t="shared" si="67"/>
        <v>69120</v>
      </c>
    </row>
    <row r="975" spans="5:9">
      <c r="E975" s="7" t="str">
        <f t="shared" si="65"/>
        <v>*</v>
      </c>
      <c r="H975" s="8">
        <f t="shared" si="66"/>
        <v>6488832</v>
      </c>
      <c r="I975" s="9">
        <f t="shared" si="67"/>
        <v>69120</v>
      </c>
    </row>
    <row r="976" spans="5:9">
      <c r="E976" s="7" t="str">
        <f t="shared" si="65"/>
        <v>*</v>
      </c>
      <c r="H976" s="8">
        <f t="shared" si="66"/>
        <v>6488832</v>
      </c>
      <c r="I976" s="9">
        <f t="shared" si="67"/>
        <v>69120</v>
      </c>
    </row>
    <row r="977" spans="5:9">
      <c r="E977" s="7" t="str">
        <f t="shared" si="65"/>
        <v>*</v>
      </c>
      <c r="H977" s="8">
        <f t="shared" si="66"/>
        <v>6488832</v>
      </c>
      <c r="I977" s="9">
        <f t="shared" si="67"/>
        <v>69120</v>
      </c>
    </row>
    <row r="978" spans="5:9">
      <c r="E978" s="7" t="str">
        <f t="shared" si="65"/>
        <v>*</v>
      </c>
      <c r="H978" s="8">
        <f t="shared" si="66"/>
        <v>6488832</v>
      </c>
      <c r="I978" s="9">
        <f t="shared" si="67"/>
        <v>69120</v>
      </c>
    </row>
    <row r="979" spans="5:9">
      <c r="E979" s="7" t="str">
        <f t="shared" si="65"/>
        <v>*</v>
      </c>
      <c r="H979" s="8">
        <f t="shared" si="66"/>
        <v>6488832</v>
      </c>
      <c r="I979" s="9">
        <f t="shared" si="67"/>
        <v>69120</v>
      </c>
    </row>
    <row r="980" spans="5:9">
      <c r="E980" s="7" t="str">
        <f t="shared" si="65"/>
        <v>*</v>
      </c>
      <c r="H980" s="8">
        <f t="shared" si="66"/>
        <v>6488832</v>
      </c>
      <c r="I980" s="9">
        <f t="shared" si="67"/>
        <v>69120</v>
      </c>
    </row>
    <row r="981" spans="5:9">
      <c r="E981" s="7" t="str">
        <f t="shared" si="65"/>
        <v>*</v>
      </c>
      <c r="H981" s="8">
        <f t="shared" si="66"/>
        <v>6488832</v>
      </c>
      <c r="I981" s="9">
        <f t="shared" si="67"/>
        <v>69120</v>
      </c>
    </row>
    <row r="982" spans="5:9">
      <c r="E982" s="7" t="str">
        <f t="shared" si="65"/>
        <v>*</v>
      </c>
      <c r="H982" s="8">
        <f t="shared" si="66"/>
        <v>6488832</v>
      </c>
      <c r="I982" s="9">
        <f t="shared" si="67"/>
        <v>69120</v>
      </c>
    </row>
    <row r="983" spans="5:9">
      <c r="E983" s="7" t="str">
        <f t="shared" si="65"/>
        <v>*</v>
      </c>
      <c r="H983" s="8">
        <f t="shared" si="66"/>
        <v>6488832</v>
      </c>
      <c r="I983" s="9">
        <f t="shared" si="67"/>
        <v>69120</v>
      </c>
    </row>
    <row r="984" spans="5:9">
      <c r="E984" s="7" t="str">
        <f t="shared" si="65"/>
        <v>*</v>
      </c>
      <c r="H984" s="8">
        <f t="shared" si="66"/>
        <v>6488832</v>
      </c>
      <c r="I984" s="9">
        <f t="shared" si="67"/>
        <v>69120</v>
      </c>
    </row>
    <row r="985" spans="5:9">
      <c r="E985" s="7" t="str">
        <f t="shared" si="65"/>
        <v>*</v>
      </c>
      <c r="H985" s="8">
        <f t="shared" si="66"/>
        <v>6488832</v>
      </c>
      <c r="I985" s="9">
        <f t="shared" si="67"/>
        <v>69120</v>
      </c>
    </row>
    <row r="986" spans="5:9">
      <c r="E986" s="7" t="str">
        <f t="shared" si="65"/>
        <v>*</v>
      </c>
      <c r="H986" s="8">
        <f t="shared" si="66"/>
        <v>6488832</v>
      </c>
      <c r="I986" s="9">
        <f t="shared" si="67"/>
        <v>69120</v>
      </c>
    </row>
    <row r="987" spans="5:9">
      <c r="E987" s="7" t="str">
        <f t="shared" si="65"/>
        <v>*</v>
      </c>
      <c r="H987" s="8">
        <f t="shared" si="66"/>
        <v>6488832</v>
      </c>
      <c r="I987" s="9">
        <f t="shared" si="67"/>
        <v>69120</v>
      </c>
    </row>
    <row r="988" spans="5:9">
      <c r="E988" s="7" t="str">
        <f t="shared" si="65"/>
        <v>*</v>
      </c>
      <c r="H988" s="8">
        <f t="shared" si="66"/>
        <v>6488832</v>
      </c>
      <c r="I988" s="9">
        <f t="shared" si="67"/>
        <v>69120</v>
      </c>
    </row>
    <row r="989" spans="5:9">
      <c r="E989" s="7" t="str">
        <f t="shared" si="65"/>
        <v>*</v>
      </c>
      <c r="H989" s="8">
        <f t="shared" si="66"/>
        <v>6488832</v>
      </c>
      <c r="I989" s="9">
        <f t="shared" si="67"/>
        <v>69120</v>
      </c>
    </row>
    <row r="990" spans="5:9">
      <c r="E990" s="7" t="str">
        <f t="shared" si="65"/>
        <v>*</v>
      </c>
      <c r="H990" s="8">
        <f t="shared" si="66"/>
        <v>6488832</v>
      </c>
      <c r="I990" s="9">
        <f t="shared" si="67"/>
        <v>69120</v>
      </c>
    </row>
    <row r="991" spans="5:9">
      <c r="E991" s="7" t="str">
        <f t="shared" si="65"/>
        <v>*</v>
      </c>
      <c r="H991" s="8">
        <f t="shared" si="66"/>
        <v>6488832</v>
      </c>
      <c r="I991" s="9">
        <f t="shared" si="67"/>
        <v>69120</v>
      </c>
    </row>
    <row r="992" spans="5:9">
      <c r="E992" s="7" t="str">
        <f t="shared" ref="E992:E1055" si="68">IF(D992&gt;0,(C992/D992),"*")</f>
        <v>*</v>
      </c>
      <c r="H992" s="8">
        <f t="shared" ref="H992:H1055" si="69">H991+C992</f>
        <v>6488832</v>
      </c>
      <c r="I992" s="9">
        <f t="shared" ref="I992:I1055" si="70">I991+D992</f>
        <v>69120</v>
      </c>
    </row>
    <row r="993" spans="5:9">
      <c r="E993" s="7" t="str">
        <f t="shared" si="68"/>
        <v>*</v>
      </c>
      <c r="H993" s="8">
        <f t="shared" si="69"/>
        <v>6488832</v>
      </c>
      <c r="I993" s="9">
        <f t="shared" si="70"/>
        <v>69120</v>
      </c>
    </row>
    <row r="994" spans="5:9">
      <c r="E994" s="7" t="str">
        <f t="shared" si="68"/>
        <v>*</v>
      </c>
      <c r="H994" s="8">
        <f t="shared" si="69"/>
        <v>6488832</v>
      </c>
      <c r="I994" s="9">
        <f t="shared" si="70"/>
        <v>69120</v>
      </c>
    </row>
    <row r="995" spans="5:9">
      <c r="E995" s="7" t="str">
        <f t="shared" si="68"/>
        <v>*</v>
      </c>
      <c r="H995" s="8">
        <f t="shared" si="69"/>
        <v>6488832</v>
      </c>
      <c r="I995" s="9">
        <f t="shared" si="70"/>
        <v>69120</v>
      </c>
    </row>
    <row r="996" spans="5:9">
      <c r="E996" s="7" t="str">
        <f t="shared" si="68"/>
        <v>*</v>
      </c>
      <c r="H996" s="8">
        <f t="shared" si="69"/>
        <v>6488832</v>
      </c>
      <c r="I996" s="9">
        <f t="shared" si="70"/>
        <v>69120</v>
      </c>
    </row>
    <row r="997" spans="5:9">
      <c r="E997" s="7" t="str">
        <f t="shared" si="68"/>
        <v>*</v>
      </c>
      <c r="H997" s="8">
        <f t="shared" si="69"/>
        <v>6488832</v>
      </c>
      <c r="I997" s="9">
        <f t="shared" si="70"/>
        <v>69120</v>
      </c>
    </row>
    <row r="998" spans="5:9">
      <c r="E998" s="7" t="str">
        <f t="shared" si="68"/>
        <v>*</v>
      </c>
      <c r="H998" s="8">
        <f t="shared" si="69"/>
        <v>6488832</v>
      </c>
      <c r="I998" s="9">
        <f t="shared" si="70"/>
        <v>69120</v>
      </c>
    </row>
    <row r="999" spans="5:9">
      <c r="E999" s="7" t="str">
        <f t="shared" si="68"/>
        <v>*</v>
      </c>
      <c r="H999" s="8">
        <f t="shared" si="69"/>
        <v>6488832</v>
      </c>
      <c r="I999" s="9">
        <f t="shared" si="70"/>
        <v>69120</v>
      </c>
    </row>
    <row r="1000" spans="5:9">
      <c r="E1000" s="7" t="str">
        <f t="shared" si="68"/>
        <v>*</v>
      </c>
      <c r="H1000" s="8">
        <f t="shared" si="69"/>
        <v>6488832</v>
      </c>
      <c r="I1000" s="9">
        <f t="shared" si="70"/>
        <v>69120</v>
      </c>
    </row>
    <row r="1001" spans="5:9">
      <c r="E1001" s="7" t="str">
        <f t="shared" si="68"/>
        <v>*</v>
      </c>
      <c r="H1001" s="8">
        <f t="shared" si="69"/>
        <v>6488832</v>
      </c>
      <c r="I1001" s="9">
        <f t="shared" si="70"/>
        <v>69120</v>
      </c>
    </row>
    <row r="1002" spans="5:9">
      <c r="E1002" s="7" t="str">
        <f t="shared" si="68"/>
        <v>*</v>
      </c>
      <c r="H1002" s="8">
        <f t="shared" si="69"/>
        <v>6488832</v>
      </c>
      <c r="I1002" s="9">
        <f t="shared" si="70"/>
        <v>69120</v>
      </c>
    </row>
    <row r="1003" spans="5:9">
      <c r="E1003" s="7" t="str">
        <f t="shared" si="68"/>
        <v>*</v>
      </c>
      <c r="H1003" s="8">
        <f t="shared" si="69"/>
        <v>6488832</v>
      </c>
      <c r="I1003" s="9">
        <f t="shared" si="70"/>
        <v>69120</v>
      </c>
    </row>
    <row r="1004" spans="5:9">
      <c r="E1004" s="7" t="str">
        <f t="shared" si="68"/>
        <v>*</v>
      </c>
      <c r="H1004" s="8">
        <f t="shared" si="69"/>
        <v>6488832</v>
      </c>
      <c r="I1004" s="9">
        <f t="shared" si="70"/>
        <v>69120</v>
      </c>
    </row>
    <row r="1005" spans="5:9">
      <c r="E1005" s="7" t="str">
        <f t="shared" si="68"/>
        <v>*</v>
      </c>
      <c r="H1005" s="8">
        <f t="shared" si="69"/>
        <v>6488832</v>
      </c>
      <c r="I1005" s="9">
        <f t="shared" si="70"/>
        <v>69120</v>
      </c>
    </row>
    <row r="1006" spans="5:9">
      <c r="E1006" s="7" t="str">
        <f t="shared" si="68"/>
        <v>*</v>
      </c>
      <c r="H1006" s="8">
        <f t="shared" si="69"/>
        <v>6488832</v>
      </c>
      <c r="I1006" s="9">
        <f t="shared" si="70"/>
        <v>69120</v>
      </c>
    </row>
    <row r="1007" spans="5:9">
      <c r="E1007" s="7" t="str">
        <f t="shared" si="68"/>
        <v>*</v>
      </c>
      <c r="H1007" s="8">
        <f t="shared" si="69"/>
        <v>6488832</v>
      </c>
      <c r="I1007" s="9">
        <f t="shared" si="70"/>
        <v>69120</v>
      </c>
    </row>
    <row r="1008" spans="5:9">
      <c r="E1008" s="7" t="str">
        <f t="shared" si="68"/>
        <v>*</v>
      </c>
      <c r="H1008" s="8">
        <f t="shared" si="69"/>
        <v>6488832</v>
      </c>
      <c r="I1008" s="9">
        <f t="shared" si="70"/>
        <v>69120</v>
      </c>
    </row>
    <row r="1009" spans="5:9">
      <c r="E1009" s="7" t="str">
        <f t="shared" si="68"/>
        <v>*</v>
      </c>
      <c r="H1009" s="8">
        <f t="shared" si="69"/>
        <v>6488832</v>
      </c>
      <c r="I1009" s="9">
        <f t="shared" si="70"/>
        <v>69120</v>
      </c>
    </row>
    <row r="1010" spans="5:9">
      <c r="E1010" s="7" t="str">
        <f t="shared" si="68"/>
        <v>*</v>
      </c>
      <c r="H1010" s="8">
        <f t="shared" si="69"/>
        <v>6488832</v>
      </c>
      <c r="I1010" s="9">
        <f t="shared" si="70"/>
        <v>69120</v>
      </c>
    </row>
    <row r="1011" spans="5:9">
      <c r="E1011" s="7" t="str">
        <f t="shared" si="68"/>
        <v>*</v>
      </c>
      <c r="H1011" s="8">
        <f t="shared" si="69"/>
        <v>6488832</v>
      </c>
      <c r="I1011" s="9">
        <f t="shared" si="70"/>
        <v>69120</v>
      </c>
    </row>
    <row r="1012" spans="5:9">
      <c r="E1012" s="7" t="str">
        <f t="shared" si="68"/>
        <v>*</v>
      </c>
      <c r="H1012" s="8">
        <f t="shared" si="69"/>
        <v>6488832</v>
      </c>
      <c r="I1012" s="9">
        <f t="shared" si="70"/>
        <v>69120</v>
      </c>
    </row>
    <row r="1013" spans="5:9">
      <c r="E1013" s="7" t="str">
        <f t="shared" si="68"/>
        <v>*</v>
      </c>
      <c r="H1013" s="8">
        <f t="shared" si="69"/>
        <v>6488832</v>
      </c>
      <c r="I1013" s="9">
        <f t="shared" si="70"/>
        <v>69120</v>
      </c>
    </row>
    <row r="1014" spans="5:9">
      <c r="E1014" s="7" t="str">
        <f t="shared" si="68"/>
        <v>*</v>
      </c>
      <c r="H1014" s="8">
        <f t="shared" si="69"/>
        <v>6488832</v>
      </c>
      <c r="I1014" s="9">
        <f t="shared" si="70"/>
        <v>69120</v>
      </c>
    </row>
    <row r="1015" spans="5:9">
      <c r="E1015" s="7" t="str">
        <f t="shared" si="68"/>
        <v>*</v>
      </c>
      <c r="H1015" s="8">
        <f t="shared" si="69"/>
        <v>6488832</v>
      </c>
      <c r="I1015" s="9">
        <f t="shared" si="70"/>
        <v>69120</v>
      </c>
    </row>
    <row r="1016" spans="5:9">
      <c r="E1016" s="7" t="str">
        <f t="shared" si="68"/>
        <v>*</v>
      </c>
      <c r="H1016" s="8">
        <f t="shared" si="69"/>
        <v>6488832</v>
      </c>
      <c r="I1016" s="9">
        <f t="shared" si="70"/>
        <v>69120</v>
      </c>
    </row>
    <row r="1017" spans="5:9">
      <c r="E1017" s="7" t="str">
        <f t="shared" si="68"/>
        <v>*</v>
      </c>
      <c r="H1017" s="8">
        <f t="shared" si="69"/>
        <v>6488832</v>
      </c>
      <c r="I1017" s="9">
        <f t="shared" si="70"/>
        <v>69120</v>
      </c>
    </row>
    <row r="1018" spans="5:9">
      <c r="E1018" s="7" t="str">
        <f t="shared" si="68"/>
        <v>*</v>
      </c>
      <c r="H1018" s="8">
        <f t="shared" si="69"/>
        <v>6488832</v>
      </c>
      <c r="I1018" s="9">
        <f t="shared" si="70"/>
        <v>69120</v>
      </c>
    </row>
    <row r="1019" spans="5:9">
      <c r="E1019" s="7" t="str">
        <f t="shared" si="68"/>
        <v>*</v>
      </c>
      <c r="H1019" s="8">
        <f t="shared" si="69"/>
        <v>6488832</v>
      </c>
      <c r="I1019" s="9">
        <f t="shared" si="70"/>
        <v>69120</v>
      </c>
    </row>
    <row r="1020" spans="5:9">
      <c r="E1020" s="7" t="str">
        <f t="shared" si="68"/>
        <v>*</v>
      </c>
      <c r="H1020" s="8">
        <f t="shared" si="69"/>
        <v>6488832</v>
      </c>
      <c r="I1020" s="9">
        <f t="shared" si="70"/>
        <v>69120</v>
      </c>
    </row>
    <row r="1021" spans="5:9">
      <c r="E1021" s="7" t="str">
        <f t="shared" si="68"/>
        <v>*</v>
      </c>
      <c r="H1021" s="8">
        <f t="shared" si="69"/>
        <v>6488832</v>
      </c>
      <c r="I1021" s="9">
        <f t="shared" si="70"/>
        <v>69120</v>
      </c>
    </row>
    <row r="1022" spans="5:9">
      <c r="E1022" s="7" t="str">
        <f t="shared" si="68"/>
        <v>*</v>
      </c>
      <c r="H1022" s="8">
        <f t="shared" si="69"/>
        <v>6488832</v>
      </c>
      <c r="I1022" s="9">
        <f t="shared" si="70"/>
        <v>69120</v>
      </c>
    </row>
    <row r="1023" spans="5:9">
      <c r="E1023" s="7" t="str">
        <f t="shared" si="68"/>
        <v>*</v>
      </c>
      <c r="H1023" s="8">
        <f t="shared" si="69"/>
        <v>6488832</v>
      </c>
      <c r="I1023" s="9">
        <f t="shared" si="70"/>
        <v>69120</v>
      </c>
    </row>
    <row r="1024" spans="5:9">
      <c r="E1024" s="7" t="str">
        <f t="shared" si="68"/>
        <v>*</v>
      </c>
      <c r="H1024" s="8">
        <f t="shared" si="69"/>
        <v>6488832</v>
      </c>
      <c r="I1024" s="9">
        <f t="shared" si="70"/>
        <v>69120</v>
      </c>
    </row>
    <row r="1025" spans="5:9">
      <c r="E1025" s="7" t="str">
        <f t="shared" si="68"/>
        <v>*</v>
      </c>
      <c r="H1025" s="8">
        <f t="shared" si="69"/>
        <v>6488832</v>
      </c>
      <c r="I1025" s="9">
        <f t="shared" si="70"/>
        <v>69120</v>
      </c>
    </row>
    <row r="1026" spans="5:9">
      <c r="E1026" s="7" t="str">
        <f t="shared" si="68"/>
        <v>*</v>
      </c>
      <c r="H1026" s="8">
        <f t="shared" si="69"/>
        <v>6488832</v>
      </c>
      <c r="I1026" s="9">
        <f t="shared" si="70"/>
        <v>69120</v>
      </c>
    </row>
    <row r="1027" spans="5:9">
      <c r="E1027" s="7" t="str">
        <f t="shared" si="68"/>
        <v>*</v>
      </c>
      <c r="H1027" s="8">
        <f t="shared" si="69"/>
        <v>6488832</v>
      </c>
      <c r="I1027" s="9">
        <f t="shared" si="70"/>
        <v>69120</v>
      </c>
    </row>
    <row r="1028" spans="5:9">
      <c r="E1028" s="7" t="str">
        <f t="shared" si="68"/>
        <v>*</v>
      </c>
      <c r="H1028" s="8">
        <f t="shared" si="69"/>
        <v>6488832</v>
      </c>
      <c r="I1028" s="9">
        <f t="shared" si="70"/>
        <v>69120</v>
      </c>
    </row>
    <row r="1029" spans="5:9">
      <c r="E1029" s="7" t="str">
        <f t="shared" si="68"/>
        <v>*</v>
      </c>
      <c r="H1029" s="8">
        <f t="shared" si="69"/>
        <v>6488832</v>
      </c>
      <c r="I1029" s="9">
        <f t="shared" si="70"/>
        <v>69120</v>
      </c>
    </row>
    <row r="1030" spans="5:9">
      <c r="E1030" s="7" t="str">
        <f t="shared" si="68"/>
        <v>*</v>
      </c>
      <c r="H1030" s="8">
        <f t="shared" si="69"/>
        <v>6488832</v>
      </c>
      <c r="I1030" s="9">
        <f t="shared" si="70"/>
        <v>69120</v>
      </c>
    </row>
    <row r="1031" spans="5:9">
      <c r="E1031" s="7" t="str">
        <f t="shared" si="68"/>
        <v>*</v>
      </c>
      <c r="H1031" s="8">
        <f t="shared" si="69"/>
        <v>6488832</v>
      </c>
      <c r="I1031" s="9">
        <f t="shared" si="70"/>
        <v>69120</v>
      </c>
    </row>
    <row r="1032" spans="5:9">
      <c r="E1032" s="7" t="str">
        <f t="shared" si="68"/>
        <v>*</v>
      </c>
      <c r="H1032" s="8">
        <f t="shared" si="69"/>
        <v>6488832</v>
      </c>
      <c r="I1032" s="9">
        <f t="shared" si="70"/>
        <v>69120</v>
      </c>
    </row>
    <row r="1033" spans="5:9">
      <c r="E1033" s="7" t="str">
        <f t="shared" si="68"/>
        <v>*</v>
      </c>
      <c r="H1033" s="8">
        <f t="shared" si="69"/>
        <v>6488832</v>
      </c>
      <c r="I1033" s="9">
        <f t="shared" si="70"/>
        <v>69120</v>
      </c>
    </row>
    <row r="1034" spans="5:9">
      <c r="E1034" s="7" t="str">
        <f t="shared" si="68"/>
        <v>*</v>
      </c>
      <c r="H1034" s="8">
        <f t="shared" si="69"/>
        <v>6488832</v>
      </c>
      <c r="I1034" s="9">
        <f t="shared" si="70"/>
        <v>69120</v>
      </c>
    </row>
    <row r="1035" spans="5:9">
      <c r="E1035" s="7" t="str">
        <f t="shared" si="68"/>
        <v>*</v>
      </c>
      <c r="H1035" s="8">
        <f t="shared" si="69"/>
        <v>6488832</v>
      </c>
      <c r="I1035" s="9">
        <f t="shared" si="70"/>
        <v>69120</v>
      </c>
    </row>
    <row r="1036" spans="5:9">
      <c r="E1036" s="7" t="str">
        <f t="shared" si="68"/>
        <v>*</v>
      </c>
      <c r="H1036" s="8">
        <f t="shared" si="69"/>
        <v>6488832</v>
      </c>
      <c r="I1036" s="9">
        <f t="shared" si="70"/>
        <v>69120</v>
      </c>
    </row>
    <row r="1037" spans="5:9">
      <c r="E1037" s="7" t="str">
        <f t="shared" si="68"/>
        <v>*</v>
      </c>
      <c r="H1037" s="8">
        <f t="shared" si="69"/>
        <v>6488832</v>
      </c>
      <c r="I1037" s="9">
        <f t="shared" si="70"/>
        <v>69120</v>
      </c>
    </row>
    <row r="1038" spans="5:9">
      <c r="E1038" s="7" t="str">
        <f t="shared" si="68"/>
        <v>*</v>
      </c>
      <c r="H1038" s="8">
        <f t="shared" si="69"/>
        <v>6488832</v>
      </c>
      <c r="I1038" s="9">
        <f t="shared" si="70"/>
        <v>69120</v>
      </c>
    </row>
    <row r="1039" spans="5:9">
      <c r="E1039" s="7" t="str">
        <f t="shared" si="68"/>
        <v>*</v>
      </c>
      <c r="H1039" s="8">
        <f t="shared" si="69"/>
        <v>6488832</v>
      </c>
      <c r="I1039" s="9">
        <f t="shared" si="70"/>
        <v>69120</v>
      </c>
    </row>
    <row r="1040" spans="5:9">
      <c r="E1040" s="7" t="str">
        <f t="shared" si="68"/>
        <v>*</v>
      </c>
      <c r="H1040" s="8">
        <f t="shared" si="69"/>
        <v>6488832</v>
      </c>
      <c r="I1040" s="9">
        <f t="shared" si="70"/>
        <v>69120</v>
      </c>
    </row>
    <row r="1041" spans="5:9">
      <c r="E1041" s="7" t="str">
        <f t="shared" si="68"/>
        <v>*</v>
      </c>
      <c r="H1041" s="8">
        <f t="shared" si="69"/>
        <v>6488832</v>
      </c>
      <c r="I1041" s="9">
        <f t="shared" si="70"/>
        <v>69120</v>
      </c>
    </row>
    <row r="1042" spans="5:9">
      <c r="E1042" s="7" t="str">
        <f t="shared" si="68"/>
        <v>*</v>
      </c>
      <c r="H1042" s="8">
        <f t="shared" si="69"/>
        <v>6488832</v>
      </c>
      <c r="I1042" s="9">
        <f t="shared" si="70"/>
        <v>69120</v>
      </c>
    </row>
    <row r="1043" spans="5:9">
      <c r="E1043" s="7" t="str">
        <f t="shared" si="68"/>
        <v>*</v>
      </c>
      <c r="H1043" s="8">
        <f t="shared" si="69"/>
        <v>6488832</v>
      </c>
      <c r="I1043" s="9">
        <f t="shared" si="70"/>
        <v>69120</v>
      </c>
    </row>
    <row r="1044" spans="5:9">
      <c r="E1044" s="7" t="str">
        <f t="shared" si="68"/>
        <v>*</v>
      </c>
      <c r="H1044" s="8">
        <f t="shared" si="69"/>
        <v>6488832</v>
      </c>
      <c r="I1044" s="9">
        <f t="shared" si="70"/>
        <v>69120</v>
      </c>
    </row>
    <row r="1045" spans="5:9">
      <c r="E1045" s="7" t="str">
        <f t="shared" si="68"/>
        <v>*</v>
      </c>
      <c r="H1045" s="8">
        <f t="shared" si="69"/>
        <v>6488832</v>
      </c>
      <c r="I1045" s="9">
        <f t="shared" si="70"/>
        <v>69120</v>
      </c>
    </row>
    <row r="1046" spans="5:9">
      <c r="E1046" s="7" t="str">
        <f t="shared" si="68"/>
        <v>*</v>
      </c>
      <c r="H1046" s="8">
        <f t="shared" si="69"/>
        <v>6488832</v>
      </c>
      <c r="I1046" s="9">
        <f t="shared" si="70"/>
        <v>69120</v>
      </c>
    </row>
    <row r="1047" spans="5:9">
      <c r="E1047" s="7" t="str">
        <f t="shared" si="68"/>
        <v>*</v>
      </c>
      <c r="H1047" s="8">
        <f t="shared" si="69"/>
        <v>6488832</v>
      </c>
      <c r="I1047" s="9">
        <f t="shared" si="70"/>
        <v>69120</v>
      </c>
    </row>
    <row r="1048" spans="5:9">
      <c r="E1048" s="7" t="str">
        <f t="shared" si="68"/>
        <v>*</v>
      </c>
      <c r="H1048" s="8">
        <f t="shared" si="69"/>
        <v>6488832</v>
      </c>
      <c r="I1048" s="9">
        <f t="shared" si="70"/>
        <v>69120</v>
      </c>
    </row>
    <row r="1049" spans="5:9">
      <c r="E1049" s="7" t="str">
        <f t="shared" si="68"/>
        <v>*</v>
      </c>
      <c r="H1049" s="8">
        <f t="shared" si="69"/>
        <v>6488832</v>
      </c>
      <c r="I1049" s="9">
        <f t="shared" si="70"/>
        <v>69120</v>
      </c>
    </row>
    <row r="1050" spans="5:9">
      <c r="E1050" s="7" t="str">
        <f t="shared" si="68"/>
        <v>*</v>
      </c>
      <c r="H1050" s="8">
        <f t="shared" si="69"/>
        <v>6488832</v>
      </c>
      <c r="I1050" s="9">
        <f t="shared" si="70"/>
        <v>69120</v>
      </c>
    </row>
    <row r="1051" spans="5:9">
      <c r="E1051" s="7" t="str">
        <f t="shared" si="68"/>
        <v>*</v>
      </c>
      <c r="H1051" s="8">
        <f t="shared" si="69"/>
        <v>6488832</v>
      </c>
      <c r="I1051" s="9">
        <f t="shared" si="70"/>
        <v>69120</v>
      </c>
    </row>
    <row r="1052" spans="5:9">
      <c r="E1052" s="7" t="str">
        <f t="shared" si="68"/>
        <v>*</v>
      </c>
      <c r="H1052" s="8">
        <f t="shared" si="69"/>
        <v>6488832</v>
      </c>
      <c r="I1052" s="9">
        <f t="shared" si="70"/>
        <v>69120</v>
      </c>
    </row>
    <row r="1053" spans="5:9">
      <c r="E1053" s="7" t="str">
        <f t="shared" si="68"/>
        <v>*</v>
      </c>
      <c r="H1053" s="8">
        <f t="shared" si="69"/>
        <v>6488832</v>
      </c>
      <c r="I1053" s="9">
        <f t="shared" si="70"/>
        <v>69120</v>
      </c>
    </row>
    <row r="1054" spans="5:9">
      <c r="E1054" s="7" t="str">
        <f t="shared" si="68"/>
        <v>*</v>
      </c>
      <c r="H1054" s="8">
        <f t="shared" si="69"/>
        <v>6488832</v>
      </c>
      <c r="I1054" s="9">
        <f t="shared" si="70"/>
        <v>69120</v>
      </c>
    </row>
    <row r="1055" spans="5:9">
      <c r="E1055" s="7" t="str">
        <f t="shared" si="68"/>
        <v>*</v>
      </c>
      <c r="H1055" s="8">
        <f t="shared" si="69"/>
        <v>6488832</v>
      </c>
      <c r="I1055" s="9">
        <f t="shared" si="70"/>
        <v>69120</v>
      </c>
    </row>
    <row r="1056" spans="5:9">
      <c r="E1056" s="7" t="str">
        <f t="shared" ref="E1056:E1119" si="71">IF(D1056&gt;0,(C1056/D1056),"*")</f>
        <v>*</v>
      </c>
      <c r="H1056" s="8">
        <f t="shared" ref="H1056:H1119" si="72">H1055+C1056</f>
        <v>6488832</v>
      </c>
      <c r="I1056" s="9">
        <f t="shared" ref="I1056:I1119" si="73">I1055+D1056</f>
        <v>69120</v>
      </c>
    </row>
    <row r="1057" spans="5:9">
      <c r="E1057" s="7" t="str">
        <f t="shared" si="71"/>
        <v>*</v>
      </c>
      <c r="H1057" s="8">
        <f t="shared" si="72"/>
        <v>6488832</v>
      </c>
      <c r="I1057" s="9">
        <f t="shared" si="73"/>
        <v>69120</v>
      </c>
    </row>
    <row r="1058" spans="5:9">
      <c r="E1058" s="7" t="str">
        <f t="shared" si="71"/>
        <v>*</v>
      </c>
      <c r="H1058" s="8">
        <f t="shared" si="72"/>
        <v>6488832</v>
      </c>
      <c r="I1058" s="9">
        <f t="shared" si="73"/>
        <v>69120</v>
      </c>
    </row>
    <row r="1059" spans="5:9">
      <c r="E1059" s="7" t="str">
        <f t="shared" si="71"/>
        <v>*</v>
      </c>
      <c r="H1059" s="8">
        <f t="shared" si="72"/>
        <v>6488832</v>
      </c>
      <c r="I1059" s="9">
        <f t="shared" si="73"/>
        <v>69120</v>
      </c>
    </row>
    <row r="1060" spans="5:9">
      <c r="E1060" s="7" t="str">
        <f t="shared" si="71"/>
        <v>*</v>
      </c>
      <c r="H1060" s="8">
        <f t="shared" si="72"/>
        <v>6488832</v>
      </c>
      <c r="I1060" s="9">
        <f t="shared" si="73"/>
        <v>69120</v>
      </c>
    </row>
    <row r="1061" spans="5:9">
      <c r="E1061" s="7" t="str">
        <f t="shared" si="71"/>
        <v>*</v>
      </c>
      <c r="H1061" s="8">
        <f t="shared" si="72"/>
        <v>6488832</v>
      </c>
      <c r="I1061" s="9">
        <f t="shared" si="73"/>
        <v>69120</v>
      </c>
    </row>
    <row r="1062" spans="5:9">
      <c r="E1062" s="7" t="str">
        <f t="shared" si="71"/>
        <v>*</v>
      </c>
      <c r="H1062" s="8">
        <f t="shared" si="72"/>
        <v>6488832</v>
      </c>
      <c r="I1062" s="9">
        <f t="shared" si="73"/>
        <v>69120</v>
      </c>
    </row>
    <row r="1063" spans="5:9">
      <c r="E1063" s="7" t="str">
        <f t="shared" si="71"/>
        <v>*</v>
      </c>
      <c r="H1063" s="8">
        <f t="shared" si="72"/>
        <v>6488832</v>
      </c>
      <c r="I1063" s="9">
        <f t="shared" si="73"/>
        <v>69120</v>
      </c>
    </row>
    <row r="1064" spans="5:9">
      <c r="E1064" s="7" t="str">
        <f t="shared" si="71"/>
        <v>*</v>
      </c>
      <c r="H1064" s="8">
        <f t="shared" si="72"/>
        <v>6488832</v>
      </c>
      <c r="I1064" s="9">
        <f t="shared" si="73"/>
        <v>69120</v>
      </c>
    </row>
    <row r="1065" spans="5:9">
      <c r="E1065" s="7" t="str">
        <f t="shared" si="71"/>
        <v>*</v>
      </c>
      <c r="H1065" s="8">
        <f t="shared" si="72"/>
        <v>6488832</v>
      </c>
      <c r="I1065" s="9">
        <f t="shared" si="73"/>
        <v>69120</v>
      </c>
    </row>
    <row r="1066" spans="5:9">
      <c r="E1066" s="7" t="str">
        <f t="shared" si="71"/>
        <v>*</v>
      </c>
      <c r="H1066" s="8">
        <f t="shared" si="72"/>
        <v>6488832</v>
      </c>
      <c r="I1066" s="9">
        <f t="shared" si="73"/>
        <v>69120</v>
      </c>
    </row>
    <row r="1067" spans="5:9">
      <c r="E1067" s="7" t="str">
        <f t="shared" si="71"/>
        <v>*</v>
      </c>
      <c r="H1067" s="8">
        <f t="shared" si="72"/>
        <v>6488832</v>
      </c>
      <c r="I1067" s="9">
        <f t="shared" si="73"/>
        <v>69120</v>
      </c>
    </row>
    <row r="1068" spans="5:9">
      <c r="E1068" s="7" t="str">
        <f t="shared" si="71"/>
        <v>*</v>
      </c>
      <c r="H1068" s="8">
        <f t="shared" si="72"/>
        <v>6488832</v>
      </c>
      <c r="I1068" s="9">
        <f t="shared" si="73"/>
        <v>69120</v>
      </c>
    </row>
    <row r="1069" spans="5:9">
      <c r="E1069" s="7" t="str">
        <f t="shared" si="71"/>
        <v>*</v>
      </c>
      <c r="H1069" s="8">
        <f t="shared" si="72"/>
        <v>6488832</v>
      </c>
      <c r="I1069" s="9">
        <f t="shared" si="73"/>
        <v>69120</v>
      </c>
    </row>
    <row r="1070" spans="5:9">
      <c r="E1070" s="7" t="str">
        <f t="shared" si="71"/>
        <v>*</v>
      </c>
      <c r="H1070" s="8">
        <f t="shared" si="72"/>
        <v>6488832</v>
      </c>
      <c r="I1070" s="9">
        <f t="shared" si="73"/>
        <v>69120</v>
      </c>
    </row>
    <row r="1071" spans="5:9">
      <c r="E1071" s="7" t="str">
        <f t="shared" si="71"/>
        <v>*</v>
      </c>
      <c r="H1071" s="8">
        <f t="shared" si="72"/>
        <v>6488832</v>
      </c>
      <c r="I1071" s="9">
        <f t="shared" si="73"/>
        <v>69120</v>
      </c>
    </row>
    <row r="1072" spans="5:9">
      <c r="E1072" s="7" t="str">
        <f t="shared" si="71"/>
        <v>*</v>
      </c>
      <c r="H1072" s="8">
        <f t="shared" si="72"/>
        <v>6488832</v>
      </c>
      <c r="I1072" s="9">
        <f t="shared" si="73"/>
        <v>69120</v>
      </c>
    </row>
    <row r="1073" spans="5:9">
      <c r="E1073" s="7" t="str">
        <f t="shared" si="71"/>
        <v>*</v>
      </c>
      <c r="H1073" s="8">
        <f t="shared" si="72"/>
        <v>6488832</v>
      </c>
      <c r="I1073" s="9">
        <f t="shared" si="73"/>
        <v>69120</v>
      </c>
    </row>
    <row r="1074" spans="5:9">
      <c r="E1074" s="7" t="str">
        <f t="shared" si="71"/>
        <v>*</v>
      </c>
      <c r="H1074" s="8">
        <f t="shared" si="72"/>
        <v>6488832</v>
      </c>
      <c r="I1074" s="9">
        <f t="shared" si="73"/>
        <v>69120</v>
      </c>
    </row>
    <row r="1075" spans="5:9">
      <c r="E1075" s="7" t="str">
        <f t="shared" si="71"/>
        <v>*</v>
      </c>
      <c r="H1075" s="8">
        <f t="shared" si="72"/>
        <v>6488832</v>
      </c>
      <c r="I1075" s="9">
        <f t="shared" si="73"/>
        <v>69120</v>
      </c>
    </row>
    <row r="1076" spans="5:9">
      <c r="E1076" s="7" t="str">
        <f t="shared" si="71"/>
        <v>*</v>
      </c>
      <c r="H1076" s="8">
        <f t="shared" si="72"/>
        <v>6488832</v>
      </c>
      <c r="I1076" s="9">
        <f t="shared" si="73"/>
        <v>69120</v>
      </c>
    </row>
    <row r="1077" spans="5:9">
      <c r="E1077" s="7" t="str">
        <f t="shared" si="71"/>
        <v>*</v>
      </c>
      <c r="H1077" s="8">
        <f t="shared" si="72"/>
        <v>6488832</v>
      </c>
      <c r="I1077" s="9">
        <f t="shared" si="73"/>
        <v>69120</v>
      </c>
    </row>
    <row r="1078" spans="5:9">
      <c r="E1078" s="7" t="str">
        <f t="shared" si="71"/>
        <v>*</v>
      </c>
      <c r="H1078" s="8">
        <f t="shared" si="72"/>
        <v>6488832</v>
      </c>
      <c r="I1078" s="9">
        <f t="shared" si="73"/>
        <v>69120</v>
      </c>
    </row>
    <row r="1079" spans="5:9">
      <c r="E1079" s="7" t="str">
        <f t="shared" si="71"/>
        <v>*</v>
      </c>
      <c r="H1079" s="8">
        <f t="shared" si="72"/>
        <v>6488832</v>
      </c>
      <c r="I1079" s="9">
        <f t="shared" si="73"/>
        <v>69120</v>
      </c>
    </row>
    <row r="1080" spans="5:9">
      <c r="E1080" s="7" t="str">
        <f t="shared" si="71"/>
        <v>*</v>
      </c>
      <c r="H1080" s="8">
        <f t="shared" si="72"/>
        <v>6488832</v>
      </c>
      <c r="I1080" s="9">
        <f t="shared" si="73"/>
        <v>69120</v>
      </c>
    </row>
    <row r="1081" spans="5:9">
      <c r="E1081" s="7" t="str">
        <f t="shared" si="71"/>
        <v>*</v>
      </c>
      <c r="H1081" s="8">
        <f t="shared" si="72"/>
        <v>6488832</v>
      </c>
      <c r="I1081" s="9">
        <f t="shared" si="73"/>
        <v>69120</v>
      </c>
    </row>
    <row r="1082" spans="5:9">
      <c r="E1082" s="7" t="str">
        <f t="shared" si="71"/>
        <v>*</v>
      </c>
      <c r="H1082" s="8">
        <f t="shared" si="72"/>
        <v>6488832</v>
      </c>
      <c r="I1082" s="9">
        <f t="shared" si="73"/>
        <v>69120</v>
      </c>
    </row>
    <row r="1083" spans="5:9">
      <c r="E1083" s="7" t="str">
        <f t="shared" si="71"/>
        <v>*</v>
      </c>
      <c r="H1083" s="8">
        <f t="shared" si="72"/>
        <v>6488832</v>
      </c>
      <c r="I1083" s="9">
        <f t="shared" si="73"/>
        <v>69120</v>
      </c>
    </row>
    <row r="1084" spans="5:9">
      <c r="E1084" s="7" t="str">
        <f t="shared" si="71"/>
        <v>*</v>
      </c>
      <c r="H1084" s="8">
        <f t="shared" si="72"/>
        <v>6488832</v>
      </c>
      <c r="I1084" s="9">
        <f t="shared" si="73"/>
        <v>69120</v>
      </c>
    </row>
    <row r="1085" spans="5:9">
      <c r="E1085" s="7" t="str">
        <f t="shared" si="71"/>
        <v>*</v>
      </c>
      <c r="H1085" s="8">
        <f t="shared" si="72"/>
        <v>6488832</v>
      </c>
      <c r="I1085" s="9">
        <f t="shared" si="73"/>
        <v>69120</v>
      </c>
    </row>
    <row r="1086" spans="5:9">
      <c r="E1086" s="7" t="str">
        <f t="shared" si="71"/>
        <v>*</v>
      </c>
      <c r="H1086" s="8">
        <f t="shared" si="72"/>
        <v>6488832</v>
      </c>
      <c r="I1086" s="9">
        <f t="shared" si="73"/>
        <v>69120</v>
      </c>
    </row>
    <row r="1087" spans="5:9">
      <c r="E1087" s="7" t="str">
        <f t="shared" si="71"/>
        <v>*</v>
      </c>
      <c r="H1087" s="8">
        <f t="shared" si="72"/>
        <v>6488832</v>
      </c>
      <c r="I1087" s="9">
        <f t="shared" si="73"/>
        <v>69120</v>
      </c>
    </row>
    <row r="1088" spans="5:9">
      <c r="E1088" s="7" t="str">
        <f t="shared" si="71"/>
        <v>*</v>
      </c>
      <c r="H1088" s="8">
        <f t="shared" si="72"/>
        <v>6488832</v>
      </c>
      <c r="I1088" s="9">
        <f t="shared" si="73"/>
        <v>69120</v>
      </c>
    </row>
    <row r="1089" spans="5:9">
      <c r="E1089" s="7" t="str">
        <f t="shared" si="71"/>
        <v>*</v>
      </c>
      <c r="H1089" s="8">
        <f t="shared" si="72"/>
        <v>6488832</v>
      </c>
      <c r="I1089" s="9">
        <f t="shared" si="73"/>
        <v>69120</v>
      </c>
    </row>
    <row r="1090" spans="5:9">
      <c r="E1090" s="7" t="str">
        <f t="shared" si="71"/>
        <v>*</v>
      </c>
      <c r="H1090" s="8">
        <f t="shared" si="72"/>
        <v>6488832</v>
      </c>
      <c r="I1090" s="9">
        <f t="shared" si="73"/>
        <v>69120</v>
      </c>
    </row>
    <row r="1091" spans="5:9">
      <c r="E1091" s="7" t="str">
        <f t="shared" si="71"/>
        <v>*</v>
      </c>
      <c r="H1091" s="8">
        <f t="shared" si="72"/>
        <v>6488832</v>
      </c>
      <c r="I1091" s="9">
        <f t="shared" si="73"/>
        <v>69120</v>
      </c>
    </row>
    <row r="1092" spans="5:9">
      <c r="E1092" s="7" t="str">
        <f t="shared" si="71"/>
        <v>*</v>
      </c>
      <c r="H1092" s="8">
        <f t="shared" si="72"/>
        <v>6488832</v>
      </c>
      <c r="I1092" s="9">
        <f t="shared" si="73"/>
        <v>69120</v>
      </c>
    </row>
    <row r="1093" spans="5:9">
      <c r="E1093" s="7" t="str">
        <f t="shared" si="71"/>
        <v>*</v>
      </c>
      <c r="H1093" s="8">
        <f t="shared" si="72"/>
        <v>6488832</v>
      </c>
      <c r="I1093" s="9">
        <f t="shared" si="73"/>
        <v>69120</v>
      </c>
    </row>
    <row r="1094" spans="5:9">
      <c r="E1094" s="7" t="str">
        <f t="shared" si="71"/>
        <v>*</v>
      </c>
      <c r="H1094" s="8">
        <f t="shared" si="72"/>
        <v>6488832</v>
      </c>
      <c r="I1094" s="9">
        <f t="shared" si="73"/>
        <v>69120</v>
      </c>
    </row>
    <row r="1095" spans="5:9">
      <c r="E1095" s="7" t="str">
        <f t="shared" si="71"/>
        <v>*</v>
      </c>
      <c r="H1095" s="8">
        <f t="shared" si="72"/>
        <v>6488832</v>
      </c>
      <c r="I1095" s="9">
        <f t="shared" si="73"/>
        <v>69120</v>
      </c>
    </row>
    <row r="1096" spans="5:9">
      <c r="E1096" s="7" t="str">
        <f t="shared" si="71"/>
        <v>*</v>
      </c>
      <c r="H1096" s="8">
        <f t="shared" si="72"/>
        <v>6488832</v>
      </c>
      <c r="I1096" s="9">
        <f t="shared" si="73"/>
        <v>69120</v>
      </c>
    </row>
    <row r="1097" spans="5:9">
      <c r="E1097" s="7" t="str">
        <f t="shared" si="71"/>
        <v>*</v>
      </c>
      <c r="H1097" s="8">
        <f t="shared" si="72"/>
        <v>6488832</v>
      </c>
      <c r="I1097" s="9">
        <f t="shared" si="73"/>
        <v>69120</v>
      </c>
    </row>
    <row r="1098" spans="5:9">
      <c r="E1098" s="7" t="str">
        <f t="shared" si="71"/>
        <v>*</v>
      </c>
      <c r="H1098" s="8">
        <f t="shared" si="72"/>
        <v>6488832</v>
      </c>
      <c r="I1098" s="9">
        <f t="shared" si="73"/>
        <v>69120</v>
      </c>
    </row>
    <row r="1099" spans="5:9">
      <c r="E1099" s="7" t="str">
        <f t="shared" si="71"/>
        <v>*</v>
      </c>
      <c r="H1099" s="8">
        <f t="shared" si="72"/>
        <v>6488832</v>
      </c>
      <c r="I1099" s="9">
        <f t="shared" si="73"/>
        <v>69120</v>
      </c>
    </row>
    <row r="1100" spans="5:9">
      <c r="E1100" s="7" t="str">
        <f t="shared" si="71"/>
        <v>*</v>
      </c>
      <c r="H1100" s="8">
        <f t="shared" si="72"/>
        <v>6488832</v>
      </c>
      <c r="I1100" s="9">
        <f t="shared" si="73"/>
        <v>69120</v>
      </c>
    </row>
    <row r="1101" spans="5:9">
      <c r="E1101" s="7" t="str">
        <f t="shared" si="71"/>
        <v>*</v>
      </c>
      <c r="H1101" s="8">
        <f t="shared" si="72"/>
        <v>6488832</v>
      </c>
      <c r="I1101" s="9">
        <f t="shared" si="73"/>
        <v>69120</v>
      </c>
    </row>
    <row r="1102" spans="5:9">
      <c r="E1102" s="7" t="str">
        <f t="shared" si="71"/>
        <v>*</v>
      </c>
      <c r="H1102" s="8">
        <f t="shared" si="72"/>
        <v>6488832</v>
      </c>
      <c r="I1102" s="9">
        <f t="shared" si="73"/>
        <v>69120</v>
      </c>
    </row>
    <row r="1103" spans="5:9">
      <c r="E1103" s="7" t="str">
        <f t="shared" si="71"/>
        <v>*</v>
      </c>
      <c r="H1103" s="8">
        <f t="shared" si="72"/>
        <v>6488832</v>
      </c>
      <c r="I1103" s="9">
        <f t="shared" si="73"/>
        <v>69120</v>
      </c>
    </row>
    <row r="1104" spans="5:9">
      <c r="E1104" s="7" t="str">
        <f t="shared" si="71"/>
        <v>*</v>
      </c>
      <c r="H1104" s="8">
        <f t="shared" si="72"/>
        <v>6488832</v>
      </c>
      <c r="I1104" s="9">
        <f t="shared" si="73"/>
        <v>69120</v>
      </c>
    </row>
    <row r="1105" spans="5:9">
      <c r="E1105" s="7" t="str">
        <f t="shared" si="71"/>
        <v>*</v>
      </c>
      <c r="H1105" s="8">
        <f t="shared" si="72"/>
        <v>6488832</v>
      </c>
      <c r="I1105" s="9">
        <f t="shared" si="73"/>
        <v>69120</v>
      </c>
    </row>
    <row r="1106" spans="5:9">
      <c r="E1106" s="7" t="str">
        <f t="shared" si="71"/>
        <v>*</v>
      </c>
      <c r="H1106" s="8">
        <f t="shared" si="72"/>
        <v>6488832</v>
      </c>
      <c r="I1106" s="9">
        <f t="shared" si="73"/>
        <v>69120</v>
      </c>
    </row>
    <row r="1107" spans="5:9">
      <c r="E1107" s="7" t="str">
        <f t="shared" si="71"/>
        <v>*</v>
      </c>
      <c r="H1107" s="8">
        <f t="shared" si="72"/>
        <v>6488832</v>
      </c>
      <c r="I1107" s="9">
        <f t="shared" si="73"/>
        <v>69120</v>
      </c>
    </row>
    <row r="1108" spans="5:9">
      <c r="E1108" s="7" t="str">
        <f t="shared" si="71"/>
        <v>*</v>
      </c>
      <c r="H1108" s="8">
        <f t="shared" si="72"/>
        <v>6488832</v>
      </c>
      <c r="I1108" s="9">
        <f t="shared" si="73"/>
        <v>69120</v>
      </c>
    </row>
    <row r="1109" spans="5:9">
      <c r="E1109" s="7" t="str">
        <f t="shared" si="71"/>
        <v>*</v>
      </c>
      <c r="H1109" s="8">
        <f t="shared" si="72"/>
        <v>6488832</v>
      </c>
      <c r="I1109" s="9">
        <f t="shared" si="73"/>
        <v>69120</v>
      </c>
    </row>
    <row r="1110" spans="5:9">
      <c r="E1110" s="7" t="str">
        <f t="shared" si="71"/>
        <v>*</v>
      </c>
      <c r="H1110" s="8">
        <f t="shared" si="72"/>
        <v>6488832</v>
      </c>
      <c r="I1110" s="9">
        <f t="shared" si="73"/>
        <v>69120</v>
      </c>
    </row>
    <row r="1111" spans="5:9">
      <c r="E1111" s="7" t="str">
        <f t="shared" si="71"/>
        <v>*</v>
      </c>
      <c r="H1111" s="8">
        <f t="shared" si="72"/>
        <v>6488832</v>
      </c>
      <c r="I1111" s="9">
        <f t="shared" si="73"/>
        <v>69120</v>
      </c>
    </row>
    <row r="1112" spans="5:9">
      <c r="E1112" s="7" t="str">
        <f t="shared" si="71"/>
        <v>*</v>
      </c>
      <c r="H1112" s="8">
        <f t="shared" si="72"/>
        <v>6488832</v>
      </c>
      <c r="I1112" s="9">
        <f t="shared" si="73"/>
        <v>69120</v>
      </c>
    </row>
    <row r="1113" spans="5:9">
      <c r="E1113" s="7" t="str">
        <f t="shared" si="71"/>
        <v>*</v>
      </c>
      <c r="H1113" s="8">
        <f t="shared" si="72"/>
        <v>6488832</v>
      </c>
      <c r="I1113" s="9">
        <f t="shared" si="73"/>
        <v>69120</v>
      </c>
    </row>
    <row r="1114" spans="5:9">
      <c r="E1114" s="7" t="str">
        <f t="shared" si="71"/>
        <v>*</v>
      </c>
      <c r="H1114" s="8">
        <f t="shared" si="72"/>
        <v>6488832</v>
      </c>
      <c r="I1114" s="9">
        <f t="shared" si="73"/>
        <v>69120</v>
      </c>
    </row>
    <row r="1115" spans="5:9">
      <c r="E1115" s="7" t="str">
        <f t="shared" si="71"/>
        <v>*</v>
      </c>
      <c r="H1115" s="8">
        <f t="shared" si="72"/>
        <v>6488832</v>
      </c>
      <c r="I1115" s="9">
        <f t="shared" si="73"/>
        <v>69120</v>
      </c>
    </row>
    <row r="1116" spans="5:9">
      <c r="E1116" s="7" t="str">
        <f t="shared" si="71"/>
        <v>*</v>
      </c>
      <c r="H1116" s="8">
        <f t="shared" si="72"/>
        <v>6488832</v>
      </c>
      <c r="I1116" s="9">
        <f t="shared" si="73"/>
        <v>69120</v>
      </c>
    </row>
    <row r="1117" spans="5:9">
      <c r="E1117" s="7" t="str">
        <f t="shared" si="71"/>
        <v>*</v>
      </c>
      <c r="H1117" s="8">
        <f t="shared" si="72"/>
        <v>6488832</v>
      </c>
      <c r="I1117" s="9">
        <f t="shared" si="73"/>
        <v>69120</v>
      </c>
    </row>
    <row r="1118" spans="5:9">
      <c r="E1118" s="7" t="str">
        <f t="shared" si="71"/>
        <v>*</v>
      </c>
      <c r="H1118" s="8">
        <f t="shared" si="72"/>
        <v>6488832</v>
      </c>
      <c r="I1118" s="9">
        <f t="shared" si="73"/>
        <v>69120</v>
      </c>
    </row>
    <row r="1119" spans="5:9">
      <c r="E1119" s="7" t="str">
        <f t="shared" si="71"/>
        <v>*</v>
      </c>
      <c r="H1119" s="8">
        <f t="shared" si="72"/>
        <v>6488832</v>
      </c>
      <c r="I1119" s="9">
        <f t="shared" si="73"/>
        <v>69120</v>
      </c>
    </row>
    <row r="1120" spans="5:9">
      <c r="E1120" s="7" t="str">
        <f t="shared" ref="E1120:E1159" si="74">IF(D1120&gt;0,(C1120/D1120),"*")</f>
        <v>*</v>
      </c>
      <c r="H1120" s="8">
        <f t="shared" ref="H1120:H1159" si="75">H1119+C1120</f>
        <v>6488832</v>
      </c>
      <c r="I1120" s="9">
        <f t="shared" ref="I1120:I1159" si="76">I1119+D1120</f>
        <v>69120</v>
      </c>
    </row>
    <row r="1121" spans="5:9">
      <c r="E1121" s="7" t="str">
        <f t="shared" si="74"/>
        <v>*</v>
      </c>
      <c r="H1121" s="8">
        <f t="shared" si="75"/>
        <v>6488832</v>
      </c>
      <c r="I1121" s="9">
        <f t="shared" si="76"/>
        <v>69120</v>
      </c>
    </row>
    <row r="1122" spans="5:9">
      <c r="E1122" s="7" t="str">
        <f t="shared" si="74"/>
        <v>*</v>
      </c>
      <c r="H1122" s="8">
        <f t="shared" si="75"/>
        <v>6488832</v>
      </c>
      <c r="I1122" s="9">
        <f t="shared" si="76"/>
        <v>69120</v>
      </c>
    </row>
    <row r="1123" spans="5:9">
      <c r="E1123" s="7" t="str">
        <f t="shared" si="74"/>
        <v>*</v>
      </c>
      <c r="H1123" s="8">
        <f t="shared" si="75"/>
        <v>6488832</v>
      </c>
      <c r="I1123" s="9">
        <f t="shared" si="76"/>
        <v>69120</v>
      </c>
    </row>
    <row r="1124" spans="5:9">
      <c r="E1124" s="7" t="str">
        <f t="shared" si="74"/>
        <v>*</v>
      </c>
      <c r="H1124" s="8">
        <f t="shared" si="75"/>
        <v>6488832</v>
      </c>
      <c r="I1124" s="9">
        <f t="shared" si="76"/>
        <v>69120</v>
      </c>
    </row>
    <row r="1125" spans="5:9">
      <c r="E1125" s="7" t="str">
        <f t="shared" si="74"/>
        <v>*</v>
      </c>
      <c r="H1125" s="8">
        <f t="shared" si="75"/>
        <v>6488832</v>
      </c>
      <c r="I1125" s="9">
        <f t="shared" si="76"/>
        <v>69120</v>
      </c>
    </row>
    <row r="1126" spans="5:9">
      <c r="E1126" s="7" t="str">
        <f t="shared" si="74"/>
        <v>*</v>
      </c>
      <c r="H1126" s="8">
        <f t="shared" si="75"/>
        <v>6488832</v>
      </c>
      <c r="I1126" s="9">
        <f t="shared" si="76"/>
        <v>69120</v>
      </c>
    </row>
    <row r="1127" spans="5:9">
      <c r="E1127" s="7" t="str">
        <f t="shared" si="74"/>
        <v>*</v>
      </c>
      <c r="H1127" s="8">
        <f t="shared" si="75"/>
        <v>6488832</v>
      </c>
      <c r="I1127" s="9">
        <f t="shared" si="76"/>
        <v>69120</v>
      </c>
    </row>
    <row r="1128" spans="5:9">
      <c r="E1128" s="7" t="str">
        <f t="shared" si="74"/>
        <v>*</v>
      </c>
      <c r="H1128" s="8">
        <f t="shared" si="75"/>
        <v>6488832</v>
      </c>
      <c r="I1128" s="9">
        <f t="shared" si="76"/>
        <v>69120</v>
      </c>
    </row>
    <row r="1129" spans="5:9">
      <c r="E1129" s="7" t="str">
        <f t="shared" si="74"/>
        <v>*</v>
      </c>
      <c r="H1129" s="8">
        <f t="shared" si="75"/>
        <v>6488832</v>
      </c>
      <c r="I1129" s="9">
        <f t="shared" si="76"/>
        <v>69120</v>
      </c>
    </row>
    <row r="1130" spans="5:9">
      <c r="E1130" s="7" t="str">
        <f t="shared" si="74"/>
        <v>*</v>
      </c>
      <c r="H1130" s="8">
        <f t="shared" si="75"/>
        <v>6488832</v>
      </c>
      <c r="I1130" s="9">
        <f t="shared" si="76"/>
        <v>69120</v>
      </c>
    </row>
    <row r="1131" spans="5:9">
      <c r="E1131" s="7" t="str">
        <f t="shared" si="74"/>
        <v>*</v>
      </c>
      <c r="H1131" s="8">
        <f t="shared" si="75"/>
        <v>6488832</v>
      </c>
      <c r="I1131" s="9">
        <f t="shared" si="76"/>
        <v>69120</v>
      </c>
    </row>
    <row r="1132" spans="5:9">
      <c r="E1132" s="7" t="str">
        <f t="shared" si="74"/>
        <v>*</v>
      </c>
      <c r="H1132" s="8">
        <f t="shared" si="75"/>
        <v>6488832</v>
      </c>
      <c r="I1132" s="9">
        <f t="shared" si="76"/>
        <v>69120</v>
      </c>
    </row>
    <row r="1133" spans="5:9">
      <c r="E1133" s="7" t="str">
        <f t="shared" si="74"/>
        <v>*</v>
      </c>
      <c r="H1133" s="8">
        <f t="shared" si="75"/>
        <v>6488832</v>
      </c>
      <c r="I1133" s="9">
        <f t="shared" si="76"/>
        <v>69120</v>
      </c>
    </row>
    <row r="1134" spans="5:9">
      <c r="E1134" s="7" t="str">
        <f t="shared" si="74"/>
        <v>*</v>
      </c>
      <c r="H1134" s="8">
        <f t="shared" si="75"/>
        <v>6488832</v>
      </c>
      <c r="I1134" s="9">
        <f t="shared" si="76"/>
        <v>69120</v>
      </c>
    </row>
    <row r="1135" spans="5:9">
      <c r="E1135" s="7" t="str">
        <f t="shared" si="74"/>
        <v>*</v>
      </c>
      <c r="H1135" s="8">
        <f t="shared" si="75"/>
        <v>6488832</v>
      </c>
      <c r="I1135" s="9">
        <f t="shared" si="76"/>
        <v>69120</v>
      </c>
    </row>
    <row r="1136" spans="5:9">
      <c r="E1136" s="7" t="str">
        <f t="shared" si="74"/>
        <v>*</v>
      </c>
      <c r="H1136" s="8">
        <f t="shared" si="75"/>
        <v>6488832</v>
      </c>
      <c r="I1136" s="9">
        <f t="shared" si="76"/>
        <v>69120</v>
      </c>
    </row>
    <row r="1137" spans="5:9">
      <c r="E1137" s="7" t="str">
        <f t="shared" si="74"/>
        <v>*</v>
      </c>
      <c r="H1137" s="8">
        <f t="shared" si="75"/>
        <v>6488832</v>
      </c>
      <c r="I1137" s="9">
        <f t="shared" si="76"/>
        <v>69120</v>
      </c>
    </row>
    <row r="1138" spans="5:9">
      <c r="E1138" s="7" t="str">
        <f t="shared" si="74"/>
        <v>*</v>
      </c>
      <c r="H1138" s="8">
        <f t="shared" si="75"/>
        <v>6488832</v>
      </c>
      <c r="I1138" s="9">
        <f t="shared" si="76"/>
        <v>69120</v>
      </c>
    </row>
    <row r="1139" spans="5:9">
      <c r="E1139" s="7" t="str">
        <f t="shared" si="74"/>
        <v>*</v>
      </c>
      <c r="H1139" s="8">
        <f t="shared" si="75"/>
        <v>6488832</v>
      </c>
      <c r="I1139" s="9">
        <f t="shared" si="76"/>
        <v>69120</v>
      </c>
    </row>
    <row r="1140" spans="5:9">
      <c r="E1140" s="7" t="str">
        <f t="shared" si="74"/>
        <v>*</v>
      </c>
      <c r="H1140" s="8">
        <f t="shared" si="75"/>
        <v>6488832</v>
      </c>
      <c r="I1140" s="9">
        <f t="shared" si="76"/>
        <v>69120</v>
      </c>
    </row>
    <row r="1141" spans="5:9">
      <c r="E1141" s="7" t="str">
        <f t="shared" si="74"/>
        <v>*</v>
      </c>
      <c r="H1141" s="8">
        <f t="shared" si="75"/>
        <v>6488832</v>
      </c>
      <c r="I1141" s="9">
        <f t="shared" si="76"/>
        <v>69120</v>
      </c>
    </row>
    <row r="1142" spans="5:9">
      <c r="E1142" s="7" t="str">
        <f t="shared" si="74"/>
        <v>*</v>
      </c>
      <c r="H1142" s="8">
        <f t="shared" si="75"/>
        <v>6488832</v>
      </c>
      <c r="I1142" s="9">
        <f t="shared" si="76"/>
        <v>69120</v>
      </c>
    </row>
    <row r="1143" spans="5:9">
      <c r="E1143" s="7" t="str">
        <f t="shared" si="74"/>
        <v>*</v>
      </c>
      <c r="H1143" s="8">
        <f t="shared" si="75"/>
        <v>6488832</v>
      </c>
      <c r="I1143" s="9">
        <f t="shared" si="76"/>
        <v>69120</v>
      </c>
    </row>
    <row r="1144" spans="5:9">
      <c r="E1144" s="7" t="str">
        <f t="shared" si="74"/>
        <v>*</v>
      </c>
      <c r="H1144" s="8">
        <f t="shared" si="75"/>
        <v>6488832</v>
      </c>
      <c r="I1144" s="9">
        <f t="shared" si="76"/>
        <v>69120</v>
      </c>
    </row>
    <row r="1145" spans="5:9">
      <c r="E1145" s="7" t="str">
        <f t="shared" si="74"/>
        <v>*</v>
      </c>
      <c r="H1145" s="8">
        <f t="shared" si="75"/>
        <v>6488832</v>
      </c>
      <c r="I1145" s="9">
        <f t="shared" si="76"/>
        <v>69120</v>
      </c>
    </row>
    <row r="1146" spans="5:9">
      <c r="E1146" s="7" t="str">
        <f t="shared" si="74"/>
        <v>*</v>
      </c>
      <c r="H1146" s="8">
        <f t="shared" si="75"/>
        <v>6488832</v>
      </c>
      <c r="I1146" s="9">
        <f t="shared" si="76"/>
        <v>69120</v>
      </c>
    </row>
    <row r="1147" spans="5:9">
      <c r="E1147" s="7" t="str">
        <f t="shared" si="74"/>
        <v>*</v>
      </c>
      <c r="H1147" s="8">
        <f t="shared" si="75"/>
        <v>6488832</v>
      </c>
      <c r="I1147" s="9">
        <f t="shared" si="76"/>
        <v>69120</v>
      </c>
    </row>
    <row r="1148" spans="5:9">
      <c r="E1148" s="7" t="str">
        <f t="shared" si="74"/>
        <v>*</v>
      </c>
      <c r="H1148" s="8">
        <f t="shared" si="75"/>
        <v>6488832</v>
      </c>
      <c r="I1148" s="9">
        <f t="shared" si="76"/>
        <v>69120</v>
      </c>
    </row>
    <row r="1149" spans="5:9">
      <c r="E1149" s="7" t="str">
        <f t="shared" si="74"/>
        <v>*</v>
      </c>
      <c r="H1149" s="8">
        <f t="shared" si="75"/>
        <v>6488832</v>
      </c>
      <c r="I1149" s="9">
        <f t="shared" si="76"/>
        <v>69120</v>
      </c>
    </row>
    <row r="1150" spans="5:9">
      <c r="E1150" s="7" t="str">
        <f t="shared" si="74"/>
        <v>*</v>
      </c>
      <c r="H1150" s="8">
        <f t="shared" si="75"/>
        <v>6488832</v>
      </c>
      <c r="I1150" s="9">
        <f t="shared" si="76"/>
        <v>69120</v>
      </c>
    </row>
    <row r="1151" spans="5:9">
      <c r="E1151" s="7" t="str">
        <f t="shared" si="74"/>
        <v>*</v>
      </c>
      <c r="H1151" s="8">
        <f t="shared" si="75"/>
        <v>6488832</v>
      </c>
      <c r="I1151" s="9">
        <f t="shared" si="76"/>
        <v>69120</v>
      </c>
    </row>
    <row r="1152" spans="5:9">
      <c r="E1152" s="7" t="str">
        <f t="shared" si="74"/>
        <v>*</v>
      </c>
      <c r="H1152" s="8">
        <f t="shared" si="75"/>
        <v>6488832</v>
      </c>
      <c r="I1152" s="9">
        <f t="shared" si="76"/>
        <v>69120</v>
      </c>
    </row>
    <row r="1153" spans="5:9">
      <c r="E1153" s="7" t="str">
        <f t="shared" si="74"/>
        <v>*</v>
      </c>
      <c r="H1153" s="8">
        <f t="shared" si="75"/>
        <v>6488832</v>
      </c>
      <c r="I1153" s="9">
        <f t="shared" si="76"/>
        <v>69120</v>
      </c>
    </row>
    <row r="1154" spans="5:9">
      <c r="E1154" s="7" t="str">
        <f t="shared" si="74"/>
        <v>*</v>
      </c>
      <c r="H1154" s="8">
        <f t="shared" si="75"/>
        <v>6488832</v>
      </c>
      <c r="I1154" s="9">
        <f t="shared" si="76"/>
        <v>69120</v>
      </c>
    </row>
    <row r="1155" spans="5:9">
      <c r="E1155" s="7" t="str">
        <f t="shared" si="74"/>
        <v>*</v>
      </c>
      <c r="H1155" s="8">
        <f t="shared" si="75"/>
        <v>6488832</v>
      </c>
      <c r="I1155" s="9">
        <f t="shared" si="76"/>
        <v>69120</v>
      </c>
    </row>
    <row r="1156" spans="5:9">
      <c r="E1156" s="7" t="str">
        <f t="shared" si="74"/>
        <v>*</v>
      </c>
      <c r="H1156" s="8">
        <f t="shared" si="75"/>
        <v>6488832</v>
      </c>
      <c r="I1156" s="9">
        <f t="shared" si="76"/>
        <v>69120</v>
      </c>
    </row>
    <row r="1157" spans="5:9">
      <c r="E1157" s="7" t="str">
        <f t="shared" si="74"/>
        <v>*</v>
      </c>
      <c r="H1157" s="8">
        <f t="shared" si="75"/>
        <v>6488832</v>
      </c>
      <c r="I1157" s="9">
        <f t="shared" si="76"/>
        <v>69120</v>
      </c>
    </row>
    <row r="1158" spans="5:9">
      <c r="E1158" s="7" t="str">
        <f t="shared" si="74"/>
        <v>*</v>
      </c>
      <c r="H1158" s="8">
        <f t="shared" si="75"/>
        <v>6488832</v>
      </c>
      <c r="I1158" s="9">
        <f t="shared" si="76"/>
        <v>69120</v>
      </c>
    </row>
    <row r="1159" spans="5:9">
      <c r="E1159" s="7" t="str">
        <f t="shared" si="74"/>
        <v>*</v>
      </c>
      <c r="H1159" s="8">
        <f t="shared" si="75"/>
        <v>6488832</v>
      </c>
      <c r="I1159" s="9">
        <f t="shared" si="76"/>
        <v>69120</v>
      </c>
    </row>
  </sheetData>
  <sheetProtection selectLockedCells="1"/>
  <autoFilter ref="A1:I1159" xr:uid="{753F4780-E0E1-4214-A3B4-ED78FCB97772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215B-5277-4951-BD69-FF6C98BF8522}">
  <dimension ref="A1:G37"/>
  <sheetViews>
    <sheetView showGridLines="0" tabSelected="1" workbookViewId="0">
      <selection activeCell="J9" sqref="J9"/>
    </sheetView>
  </sheetViews>
  <sheetFormatPr defaultColWidth="9.28515625" defaultRowHeight="15"/>
  <cols>
    <col min="1" max="1" width="9.28515625" style="1"/>
    <col min="2" max="2" width="16.42578125" style="1" customWidth="1"/>
    <col min="3" max="3" width="18.7109375" style="1" bestFit="1" customWidth="1"/>
    <col min="4" max="4" width="10.28515625" style="21" customWidth="1"/>
    <col min="5" max="5" width="10.7109375" style="21" bestFit="1" customWidth="1"/>
    <col min="6" max="6" width="13.28515625" style="21" bestFit="1" customWidth="1"/>
    <col min="7" max="7" width="14.28515625" style="21" bestFit="1" customWidth="1"/>
    <col min="8" max="16384" width="9.28515625" style="1"/>
  </cols>
  <sheetData>
    <row r="1" spans="1:7" s="2" customFormat="1">
      <c r="A1" s="2" t="s">
        <v>206</v>
      </c>
      <c r="B1" s="2" t="s">
        <v>207</v>
      </c>
      <c r="C1" s="2" t="s">
        <v>208</v>
      </c>
      <c r="D1" s="20" t="s">
        <v>209</v>
      </c>
      <c r="E1" s="20" t="s">
        <v>210</v>
      </c>
      <c r="F1" s="20" t="s">
        <v>211</v>
      </c>
      <c r="G1" s="20" t="s">
        <v>212</v>
      </c>
    </row>
    <row r="2" spans="1:7">
      <c r="A2" s="1">
        <v>2026</v>
      </c>
      <c r="B2" s="3" t="s">
        <v>213</v>
      </c>
      <c r="C2" s="3">
        <v>46023</v>
      </c>
      <c r="D2" s="21">
        <v>400000</v>
      </c>
      <c r="E2" s="21">
        <f ca="1">IFERROR(
IF(F2=0,0,
IF(AND(YEAR(C2)=YEAR(TODAY()),MONTH(C2)=MONTH(TODAY())),
F2/MIN(DAY(TODAY()),DAY(EOMONTH(C2,0)))*DAY(EOMONTH(C2,0)),
F2
)
),0)</f>
        <v>547771</v>
      </c>
      <c r="F2" s="21">
        <f>SUMIFS(Entrada!C:C,Entrada!A:A,"&gt;="&amp;DATE(YEAR(C2),MONTH(C2),1),Entrada!A:A,"&lt;="&amp;EOMONTH(C2,0))</f>
        <v>547771</v>
      </c>
      <c r="G2" s="21">
        <f>D2-F2</f>
        <v>-147771</v>
      </c>
    </row>
    <row r="3" spans="1:7">
      <c r="A3" s="1">
        <v>2026</v>
      </c>
      <c r="B3" s="3" t="s">
        <v>214</v>
      </c>
      <c r="C3" s="3">
        <v>46054</v>
      </c>
      <c r="D3" s="21">
        <v>400000</v>
      </c>
      <c r="E3" s="21">
        <f t="shared" ref="E3:E37" ca="1" si="0">IFERROR(
IF(F3=0,0,
IF(AND(YEAR(C3)=YEAR(TODAY()),MONTH(C3)=MONTH(TODAY())),
F3/MIN(DAY(TODAY()),DAY(EOMONTH(C3,0)))*DAY(EOMONTH(C3,0)),
F3
)
),0)</f>
        <v>381832</v>
      </c>
      <c r="F3" s="29">
        <f>SUMIFS(Entrada!C:C,Entrada!A:A,"&gt;="&amp;DATE(YEAR(C3),MONTH(C3),1),Entrada!A:A,"&lt;="&amp;EOMONTH(C3,0))</f>
        <v>381832</v>
      </c>
      <c r="G3" s="21">
        <f t="shared" ref="G3:G37" si="1">D3-F3</f>
        <v>18168</v>
      </c>
    </row>
    <row r="4" spans="1:7">
      <c r="A4" s="1">
        <v>2026</v>
      </c>
      <c r="B4" s="1" t="s">
        <v>215</v>
      </c>
      <c r="C4" s="3">
        <v>46082</v>
      </c>
      <c r="D4" s="21">
        <v>400000</v>
      </c>
      <c r="E4" s="21">
        <f t="shared" ca="1" si="0"/>
        <v>577816</v>
      </c>
      <c r="F4" s="21">
        <f>SUMIFS(Entrada!C:C,Entrada!A:A,"&gt;="&amp;DATE(YEAR(C4),MONTH(C4),1),Entrada!A:A,"&lt;="&amp;EOMONTH(C4,0))</f>
        <v>577816</v>
      </c>
      <c r="G4" s="21">
        <f t="shared" si="1"/>
        <v>-177816</v>
      </c>
    </row>
    <row r="5" spans="1:7">
      <c r="A5" s="1">
        <v>2026</v>
      </c>
      <c r="B5" s="1" t="s">
        <v>216</v>
      </c>
      <c r="C5" s="3">
        <v>46113</v>
      </c>
      <c r="D5" s="21">
        <v>400000</v>
      </c>
      <c r="E5" s="21">
        <f t="shared" ca="1" si="0"/>
        <v>274096</v>
      </c>
      <c r="F5" s="21">
        <f>SUMIFS(Entrada!C:C,Entrada!A:A,"&gt;="&amp;DATE(YEAR(C5),MONTH(C5),1),Entrada!A:A,"&lt;="&amp;EOMONTH(C5,0))</f>
        <v>274096</v>
      </c>
      <c r="G5" s="21">
        <f t="shared" si="1"/>
        <v>125904</v>
      </c>
    </row>
    <row r="6" spans="1:7">
      <c r="A6" s="1">
        <v>2026</v>
      </c>
      <c r="B6" s="1" t="s">
        <v>217</v>
      </c>
      <c r="C6" s="3">
        <v>46143</v>
      </c>
      <c r="D6" s="21">
        <v>400000</v>
      </c>
      <c r="E6" s="21">
        <f t="shared" ca="1" si="0"/>
        <v>432211</v>
      </c>
      <c r="F6" s="21">
        <f>SUMIFS(Entrada!C:C,Entrada!A:A,"&gt;="&amp;DATE(YEAR(C6),MONTH(C6),1),Entrada!A:A,"&lt;="&amp;EOMONTH(C6,0))</f>
        <v>432211</v>
      </c>
      <c r="G6" s="21">
        <f t="shared" si="1"/>
        <v>-32211</v>
      </c>
    </row>
    <row r="7" spans="1:7">
      <c r="A7" s="1">
        <v>2026</v>
      </c>
      <c r="B7" s="1" t="s">
        <v>218</v>
      </c>
      <c r="C7" s="3">
        <v>46174</v>
      </c>
      <c r="D7" s="21">
        <v>400000</v>
      </c>
      <c r="E7" s="21">
        <f t="shared" ca="1" si="0"/>
        <v>587178.75</v>
      </c>
      <c r="F7" s="21">
        <f>SUMIFS(Entrada!C:C,Entrada!A:A,"&gt;="&amp;DATE(YEAR(C7),MONTH(C7),1),Entrada!A:A,"&lt;="&amp;EOMONTH(C7,0))</f>
        <v>156581</v>
      </c>
      <c r="G7" s="21">
        <f>D7-F7</f>
        <v>243419</v>
      </c>
    </row>
    <row r="8" spans="1:7">
      <c r="A8" s="1">
        <v>2026</v>
      </c>
      <c r="B8" s="1" t="s">
        <v>219</v>
      </c>
      <c r="C8" s="3">
        <v>46204</v>
      </c>
      <c r="D8" s="21">
        <v>400000</v>
      </c>
      <c r="E8" s="21">
        <f t="shared" ca="1" si="0"/>
        <v>0</v>
      </c>
      <c r="F8" s="21">
        <f>SUMIFS(Entrada!C:C,Entrada!A:A,"&gt;="&amp;DATE(YEAR(C8),MONTH(C8),1),Entrada!A:A,"&lt;="&amp;EOMONTH(C8,0))</f>
        <v>0</v>
      </c>
      <c r="G8" s="21">
        <f t="shared" si="1"/>
        <v>400000</v>
      </c>
    </row>
    <row r="9" spans="1:7">
      <c r="A9" s="1">
        <v>2026</v>
      </c>
      <c r="B9" s="1" t="s">
        <v>220</v>
      </c>
      <c r="C9" s="3">
        <v>46235</v>
      </c>
      <c r="D9" s="21">
        <v>400000</v>
      </c>
      <c r="E9" s="21">
        <f t="shared" ca="1" si="0"/>
        <v>0</v>
      </c>
      <c r="F9" s="21">
        <f>SUMIFS(Entrada!C:C,Entrada!A:A,"&gt;="&amp;DATE(YEAR(C9),MONTH(C9),1),Entrada!A:A,"&lt;="&amp;EOMONTH(C9,0))</f>
        <v>0</v>
      </c>
      <c r="G9" s="21">
        <f t="shared" si="1"/>
        <v>400000</v>
      </c>
    </row>
    <row r="10" spans="1:7">
      <c r="A10" s="1">
        <v>2026</v>
      </c>
      <c r="B10" s="1" t="s">
        <v>221</v>
      </c>
      <c r="C10" s="3">
        <v>46266</v>
      </c>
      <c r="D10" s="21">
        <v>400000</v>
      </c>
      <c r="E10" s="21">
        <f t="shared" ca="1" si="0"/>
        <v>0</v>
      </c>
      <c r="F10" s="21">
        <f>SUMIFS(Entrada!C:C,Entrada!A:A,"&gt;="&amp;DATE(YEAR(C10),MONTH(C10),1),Entrada!A:A,"&lt;="&amp;EOMONTH(C10,0))</f>
        <v>0</v>
      </c>
      <c r="G10" s="21">
        <f t="shared" si="1"/>
        <v>400000</v>
      </c>
    </row>
    <row r="11" spans="1:7">
      <c r="A11" s="1">
        <v>2026</v>
      </c>
      <c r="B11" s="1" t="s">
        <v>222</v>
      </c>
      <c r="C11" s="3">
        <v>46296</v>
      </c>
      <c r="D11" s="21">
        <v>400000</v>
      </c>
      <c r="E11" s="21">
        <f t="shared" ca="1" si="0"/>
        <v>0</v>
      </c>
      <c r="F11" s="21">
        <f>SUMIFS(Entrada!C:C,Entrada!A:A,"&gt;="&amp;DATE(YEAR(C11),MONTH(C11),1),Entrada!A:A,"&lt;="&amp;EOMONTH(C11,0))</f>
        <v>0</v>
      </c>
      <c r="G11" s="21">
        <f t="shared" si="1"/>
        <v>400000</v>
      </c>
    </row>
    <row r="12" spans="1:7">
      <c r="A12" s="1">
        <v>2026</v>
      </c>
      <c r="B12" s="1" t="s">
        <v>223</v>
      </c>
      <c r="C12" s="3">
        <v>46327</v>
      </c>
      <c r="D12" s="21">
        <v>400000</v>
      </c>
      <c r="E12" s="21">
        <f t="shared" ca="1" si="0"/>
        <v>0</v>
      </c>
      <c r="F12" s="21">
        <f>SUMIFS(Entrada!C:C,Entrada!A:A,"&gt;="&amp;DATE(YEAR(C12),MONTH(C12),1),Entrada!A:A,"&lt;="&amp;EOMONTH(C12,0))</f>
        <v>0</v>
      </c>
      <c r="G12" s="21">
        <f t="shared" si="1"/>
        <v>400000</v>
      </c>
    </row>
    <row r="13" spans="1:7">
      <c r="A13" s="1">
        <v>2026</v>
      </c>
      <c r="B13" s="1" t="s">
        <v>224</v>
      </c>
      <c r="C13" s="3">
        <v>46357</v>
      </c>
      <c r="D13" s="21">
        <v>400000</v>
      </c>
      <c r="E13" s="21">
        <f t="shared" ca="1" si="0"/>
        <v>0</v>
      </c>
      <c r="F13" s="21">
        <f>SUMIFS(Entrada!C:C,Entrada!A:A,"&gt;="&amp;DATE(YEAR(C13),MONTH(C13),1),Entrada!A:A,"&lt;="&amp;EOMONTH(C13,0))</f>
        <v>0</v>
      </c>
      <c r="G13" s="21">
        <f t="shared" si="1"/>
        <v>400000</v>
      </c>
    </row>
    <row r="14" spans="1:7">
      <c r="A14" s="1">
        <v>2025</v>
      </c>
      <c r="B14" s="1" t="s">
        <v>213</v>
      </c>
      <c r="C14" s="3">
        <v>45658</v>
      </c>
      <c r="D14" s="21">
        <v>400000</v>
      </c>
      <c r="E14" s="21">
        <f t="shared" ca="1" si="0"/>
        <v>275647</v>
      </c>
      <c r="F14" s="21">
        <f>SUMIFS(Entrada!C:C,Entrada!A:A,"&gt;="&amp;DATE(YEAR(C14),MONTH(C14),1),Entrada!A:A,"&lt;="&amp;EOMONTH(C14,0))</f>
        <v>275647</v>
      </c>
      <c r="G14" s="21">
        <f t="shared" si="1"/>
        <v>124353</v>
      </c>
    </row>
    <row r="15" spans="1:7">
      <c r="A15" s="1">
        <v>2025</v>
      </c>
      <c r="B15" s="1" t="s">
        <v>214</v>
      </c>
      <c r="C15" s="3">
        <v>45689</v>
      </c>
      <c r="D15" s="21">
        <v>400000</v>
      </c>
      <c r="E15" s="21">
        <f t="shared" ca="1" si="0"/>
        <v>312751</v>
      </c>
      <c r="F15" s="21">
        <f>SUMIFS(Entrada!C:C,Entrada!A:A,"&gt;="&amp;DATE(YEAR(C15),MONTH(C15),1),Entrada!A:A,"&lt;="&amp;EOMONTH(C15,0))</f>
        <v>312751</v>
      </c>
      <c r="G15" s="21">
        <f t="shared" si="1"/>
        <v>87249</v>
      </c>
    </row>
    <row r="16" spans="1:7">
      <c r="A16" s="1">
        <v>2025</v>
      </c>
      <c r="B16" s="1" t="s">
        <v>215</v>
      </c>
      <c r="C16" s="3">
        <v>45717</v>
      </c>
      <c r="D16" s="21">
        <v>400000</v>
      </c>
      <c r="E16" s="21">
        <f t="shared" ca="1" si="0"/>
        <v>334573</v>
      </c>
      <c r="F16" s="21">
        <f>SUMIFS(Entrada!C:C,Entrada!A:A,"&gt;="&amp;DATE(YEAR(C16),MONTH(C16),1),Entrada!A:A,"&lt;="&amp;EOMONTH(C16,0))</f>
        <v>334573</v>
      </c>
      <c r="G16" s="21">
        <f t="shared" si="1"/>
        <v>65427</v>
      </c>
    </row>
    <row r="17" spans="1:7">
      <c r="A17" s="1">
        <v>2025</v>
      </c>
      <c r="B17" s="1" t="s">
        <v>216</v>
      </c>
      <c r="C17" s="3">
        <v>45748</v>
      </c>
      <c r="D17" s="21">
        <v>400000</v>
      </c>
      <c r="E17" s="21">
        <f t="shared" ca="1" si="0"/>
        <v>338807</v>
      </c>
      <c r="F17" s="21">
        <f>SUMIFS(Entrada!C:C,Entrada!A:A,"&gt;="&amp;DATE(YEAR(C17),MONTH(C17),1),Entrada!A:A,"&lt;="&amp;EOMONTH(C17,0))</f>
        <v>338807</v>
      </c>
      <c r="G17" s="21">
        <f t="shared" si="1"/>
        <v>61193</v>
      </c>
    </row>
    <row r="18" spans="1:7">
      <c r="A18" s="1">
        <v>2025</v>
      </c>
      <c r="B18" s="1" t="s">
        <v>217</v>
      </c>
      <c r="C18" s="3">
        <v>45778</v>
      </c>
      <c r="D18" s="21">
        <v>400000</v>
      </c>
      <c r="E18" s="21">
        <f t="shared" ca="1" si="0"/>
        <v>284094</v>
      </c>
      <c r="F18" s="21">
        <f>SUMIFS(Entrada!C:C,Entrada!A:A,"&gt;="&amp;DATE(YEAR(C18),MONTH(C18),1),Entrada!A:A,"&lt;="&amp;EOMONTH(C18,0))</f>
        <v>284094</v>
      </c>
      <c r="G18" s="21">
        <f t="shared" si="1"/>
        <v>115906</v>
      </c>
    </row>
    <row r="19" spans="1:7">
      <c r="A19" s="1">
        <v>2025</v>
      </c>
      <c r="B19" s="1" t="s">
        <v>218</v>
      </c>
      <c r="C19" s="3">
        <v>45809</v>
      </c>
      <c r="D19" s="21">
        <v>400000</v>
      </c>
      <c r="E19" s="21">
        <f t="shared" ca="1" si="0"/>
        <v>217945</v>
      </c>
      <c r="F19" s="21">
        <f>SUMIFS(Entrada!C:C,Entrada!A:A,"&gt;="&amp;DATE(YEAR(C19),MONTH(C19),1),Entrada!A:A,"&lt;="&amp;EOMONTH(C19,0))</f>
        <v>217945</v>
      </c>
      <c r="G19" s="21">
        <f t="shared" si="1"/>
        <v>182055</v>
      </c>
    </row>
    <row r="20" spans="1:7">
      <c r="A20" s="1">
        <v>2025</v>
      </c>
      <c r="B20" s="1" t="s">
        <v>219</v>
      </c>
      <c r="C20" s="3">
        <v>45839</v>
      </c>
      <c r="D20" s="21">
        <v>400000</v>
      </c>
      <c r="E20" s="21">
        <f t="shared" ca="1" si="0"/>
        <v>274329</v>
      </c>
      <c r="F20" s="21">
        <f>SUMIFS(Entrada!C:C,Entrada!A:A,"&gt;="&amp;DATE(YEAR(C20),MONTH(C20),1),Entrada!A:A,"&lt;="&amp;EOMONTH(C20,0))</f>
        <v>274329</v>
      </c>
      <c r="G20" s="21">
        <f t="shared" si="1"/>
        <v>125671</v>
      </c>
    </row>
    <row r="21" spans="1:7">
      <c r="A21" s="1">
        <v>2025</v>
      </c>
      <c r="B21" s="1" t="s">
        <v>220</v>
      </c>
      <c r="C21" s="3">
        <v>45870</v>
      </c>
      <c r="D21" s="21">
        <v>400000</v>
      </c>
      <c r="E21" s="21">
        <f t="shared" ca="1" si="0"/>
        <v>389697</v>
      </c>
      <c r="F21" s="21">
        <f>SUMIFS(Entrada!C:C,Entrada!A:A,"&gt;="&amp;DATE(YEAR(C21),MONTH(C21),1),Entrada!A:A,"&lt;="&amp;EOMONTH(C21,0))</f>
        <v>389697</v>
      </c>
      <c r="G21" s="21">
        <f t="shared" si="1"/>
        <v>10303</v>
      </c>
    </row>
    <row r="22" spans="1:7">
      <c r="A22" s="1">
        <v>2025</v>
      </c>
      <c r="B22" s="1" t="s">
        <v>221</v>
      </c>
      <c r="C22" s="3">
        <v>45901</v>
      </c>
      <c r="D22" s="21">
        <v>400000</v>
      </c>
      <c r="E22" s="21">
        <f t="shared" ca="1" si="0"/>
        <v>385072</v>
      </c>
      <c r="F22" s="21">
        <f>SUMIFS(Entrada!C:C,Entrada!A:A,"&gt;="&amp;DATE(YEAR(C22),MONTH(C22),1),Entrada!A:A,"&lt;="&amp;EOMONTH(C22,0))</f>
        <v>385072</v>
      </c>
      <c r="G22" s="21">
        <f t="shared" si="1"/>
        <v>14928</v>
      </c>
    </row>
    <row r="23" spans="1:7">
      <c r="A23" s="1">
        <v>2025</v>
      </c>
      <c r="B23" s="1" t="s">
        <v>222</v>
      </c>
      <c r="C23" s="3">
        <v>45931</v>
      </c>
      <c r="D23" s="21">
        <v>400000</v>
      </c>
      <c r="E23" s="21">
        <f t="shared" ca="1" si="0"/>
        <v>497457</v>
      </c>
      <c r="F23" s="21">
        <f>SUMIFS(Entrada!C:C,Entrada!A:A,"&gt;="&amp;DATE(YEAR(C23),MONTH(C23),1),Entrada!A:A,"&lt;="&amp;EOMONTH(C23,0))</f>
        <v>497457</v>
      </c>
      <c r="G23" s="21">
        <f t="shared" si="1"/>
        <v>-97457</v>
      </c>
    </row>
    <row r="24" spans="1:7">
      <c r="A24" s="1">
        <v>2025</v>
      </c>
      <c r="B24" s="1" t="s">
        <v>223</v>
      </c>
      <c r="C24" s="3">
        <v>45962</v>
      </c>
      <c r="D24" s="21">
        <v>400000</v>
      </c>
      <c r="E24" s="21">
        <f t="shared" ca="1" si="0"/>
        <v>399022</v>
      </c>
      <c r="F24" s="21">
        <f>SUMIFS(Entrada!C:C,Entrada!A:A,"&gt;="&amp;DATE(YEAR(C24),MONTH(C24),1),Entrada!A:A,"&lt;="&amp;EOMONTH(C24,0))</f>
        <v>399022</v>
      </c>
      <c r="G24" s="21">
        <f t="shared" si="1"/>
        <v>978</v>
      </c>
    </row>
    <row r="25" spans="1:7">
      <c r="A25" s="1">
        <v>2025</v>
      </c>
      <c r="B25" s="1" t="s">
        <v>224</v>
      </c>
      <c r="C25" s="3">
        <v>45992</v>
      </c>
      <c r="D25" s="21">
        <v>400000</v>
      </c>
      <c r="E25" s="21">
        <f t="shared" ca="1" si="0"/>
        <v>409131</v>
      </c>
      <c r="F25" s="21">
        <f>SUMIFS(Entrada!C:C,Entrada!A:A,"&gt;="&amp;DATE(YEAR(C25),MONTH(C25),1),Entrada!A:A,"&lt;="&amp;EOMONTH(C25,0))</f>
        <v>409131</v>
      </c>
      <c r="G25" s="21">
        <f t="shared" si="1"/>
        <v>-9131</v>
      </c>
    </row>
    <row r="26" spans="1:7">
      <c r="A26" s="1">
        <v>2024</v>
      </c>
      <c r="B26" s="1" t="s">
        <v>213</v>
      </c>
      <c r="C26" s="3">
        <v>45292</v>
      </c>
      <c r="D26" s="21">
        <v>400000</v>
      </c>
      <c r="E26" s="21">
        <f t="shared" ca="1" si="0"/>
        <v>0</v>
      </c>
      <c r="F26" s="21">
        <f>SUMIFS(Entrada!C:C,Entrada!A:A,"&gt;="&amp;DATE(YEAR(C26),MONTH(C26),1),Entrada!A:A,"&lt;="&amp;EOMONTH(C26,0))</f>
        <v>0</v>
      </c>
      <c r="G26" s="21">
        <f t="shared" si="1"/>
        <v>400000</v>
      </c>
    </row>
    <row r="27" spans="1:7">
      <c r="A27" s="1">
        <v>2024</v>
      </c>
      <c r="B27" s="1" t="s">
        <v>214</v>
      </c>
      <c r="C27" s="3">
        <v>45323</v>
      </c>
      <c r="D27" s="21">
        <v>400000</v>
      </c>
      <c r="E27" s="21">
        <f t="shared" ca="1" si="0"/>
        <v>0</v>
      </c>
      <c r="F27" s="21">
        <f>SUMIFS(Entrada!C:C,Entrada!A:A,"&gt;="&amp;DATE(YEAR(C27),MONTH(C27),1),Entrada!A:A,"&lt;="&amp;EOMONTH(C27,0))</f>
        <v>0</v>
      </c>
      <c r="G27" s="21">
        <f t="shared" si="1"/>
        <v>400000</v>
      </c>
    </row>
    <row r="28" spans="1:7">
      <c r="A28" s="1">
        <v>2024</v>
      </c>
      <c r="B28" s="1" t="s">
        <v>215</v>
      </c>
      <c r="C28" s="3">
        <v>45352</v>
      </c>
      <c r="D28" s="21">
        <v>400000</v>
      </c>
      <c r="E28" s="21">
        <f t="shared" ca="1" si="0"/>
        <v>0</v>
      </c>
      <c r="F28" s="21">
        <f>SUMIFS(Entrada!C:C,Entrada!A:A,"&gt;="&amp;DATE(YEAR(C28),MONTH(C28),1),Entrada!A:A,"&lt;="&amp;EOMONTH(C28,0))</f>
        <v>0</v>
      </c>
      <c r="G28" s="21">
        <f t="shared" si="1"/>
        <v>400000</v>
      </c>
    </row>
    <row r="29" spans="1:7">
      <c r="A29" s="1">
        <v>2024</v>
      </c>
      <c r="B29" s="1" t="s">
        <v>216</v>
      </c>
      <c r="C29" s="3">
        <v>45383</v>
      </c>
      <c r="D29" s="21">
        <v>400000</v>
      </c>
      <c r="E29" s="21">
        <f t="shared" ca="1" si="0"/>
        <v>0</v>
      </c>
      <c r="F29" s="21">
        <f>SUMIFS(Entrada!C:C,Entrada!A:A,"&gt;="&amp;DATE(YEAR(C29),MONTH(C29),1),Entrada!A:A,"&lt;="&amp;EOMONTH(C29,0))</f>
        <v>0</v>
      </c>
      <c r="G29" s="21">
        <f t="shared" si="1"/>
        <v>400000</v>
      </c>
    </row>
    <row r="30" spans="1:7">
      <c r="A30" s="1">
        <v>2024</v>
      </c>
      <c r="B30" s="1" t="s">
        <v>217</v>
      </c>
      <c r="C30" s="3">
        <v>45413</v>
      </c>
      <c r="D30" s="21">
        <v>400000</v>
      </c>
      <c r="E30" s="21">
        <f t="shared" ca="1" si="0"/>
        <v>0</v>
      </c>
      <c r="F30" s="21">
        <f>SUMIFS(Entrada!C:C,Entrada!A:A,"&gt;="&amp;DATE(YEAR(C30),MONTH(C30),1),Entrada!A:A,"&lt;="&amp;EOMONTH(C30,0))</f>
        <v>0</v>
      </c>
      <c r="G30" s="21">
        <f t="shared" si="1"/>
        <v>400000</v>
      </c>
    </row>
    <row r="31" spans="1:7">
      <c r="A31" s="1">
        <v>2024</v>
      </c>
      <c r="B31" s="1" t="s">
        <v>218</v>
      </c>
      <c r="C31" s="3">
        <v>45444</v>
      </c>
      <c r="D31" s="21">
        <v>400000</v>
      </c>
      <c r="E31" s="21">
        <f t="shared" ca="1" si="0"/>
        <v>0</v>
      </c>
      <c r="F31" s="21">
        <f>SUMIFS(Entrada!C:C,Entrada!A:A,"&gt;="&amp;DATE(YEAR(C31),MONTH(C31),1),Entrada!A:A,"&lt;="&amp;EOMONTH(C31,0))</f>
        <v>0</v>
      </c>
      <c r="G31" s="21">
        <f t="shared" si="1"/>
        <v>400000</v>
      </c>
    </row>
    <row r="32" spans="1:7">
      <c r="A32" s="1">
        <v>2024</v>
      </c>
      <c r="B32" s="1" t="s">
        <v>219</v>
      </c>
      <c r="C32" s="3">
        <v>45474</v>
      </c>
      <c r="D32" s="21">
        <v>400000</v>
      </c>
      <c r="E32" s="21">
        <f t="shared" ca="1" si="0"/>
        <v>0</v>
      </c>
      <c r="F32" s="21">
        <f>SUMIFS(Entrada!C:C,Entrada!A:A,"&gt;="&amp;DATE(YEAR(C32),MONTH(C32),1),Entrada!A:A,"&lt;="&amp;EOMONTH(C32,0))</f>
        <v>0</v>
      </c>
      <c r="G32" s="21">
        <f t="shared" si="1"/>
        <v>400000</v>
      </c>
    </row>
    <row r="33" spans="1:7">
      <c r="A33" s="1">
        <v>2024</v>
      </c>
      <c r="B33" s="1" t="s">
        <v>220</v>
      </c>
      <c r="C33" s="3">
        <v>45505</v>
      </c>
      <c r="D33" s="21">
        <v>400000</v>
      </c>
      <c r="E33" s="21">
        <f t="shared" ca="1" si="0"/>
        <v>0</v>
      </c>
      <c r="F33" s="21">
        <f>SUMIFS(Entrada!C:C,Entrada!A:A,"&gt;="&amp;DATE(YEAR(C33),MONTH(C33),1),Entrada!A:A,"&lt;="&amp;EOMONTH(C33,0))</f>
        <v>0</v>
      </c>
      <c r="G33" s="21">
        <f t="shared" si="1"/>
        <v>400000</v>
      </c>
    </row>
    <row r="34" spans="1:7">
      <c r="A34" s="1">
        <v>2024</v>
      </c>
      <c r="B34" s="1" t="s">
        <v>221</v>
      </c>
      <c r="C34" s="3">
        <v>45536</v>
      </c>
      <c r="D34" s="21">
        <v>400000</v>
      </c>
      <c r="E34" s="21">
        <f t="shared" ca="1" si="0"/>
        <v>0</v>
      </c>
      <c r="F34" s="21">
        <f>SUMIFS(Entrada!C:C,Entrada!A:A,"&gt;="&amp;DATE(YEAR(C34),MONTH(C34),1),Entrada!A:A,"&lt;="&amp;EOMONTH(C34,0))</f>
        <v>0</v>
      </c>
      <c r="G34" s="21">
        <f t="shared" si="1"/>
        <v>400000</v>
      </c>
    </row>
    <row r="35" spans="1:7">
      <c r="A35" s="1">
        <v>2024</v>
      </c>
      <c r="B35" s="1" t="s">
        <v>222</v>
      </c>
      <c r="C35" s="3">
        <v>45566</v>
      </c>
      <c r="D35" s="21">
        <v>400000</v>
      </c>
      <c r="E35" s="21">
        <f t="shared" ca="1" si="0"/>
        <v>0</v>
      </c>
      <c r="F35" s="21">
        <f>SUMIFS(Entrada!C:C,Entrada!A:A,"&gt;="&amp;DATE(YEAR(C35),MONTH(C35),1),Entrada!A:A,"&lt;="&amp;EOMONTH(C35,0))</f>
        <v>0</v>
      </c>
      <c r="G35" s="21">
        <f t="shared" si="1"/>
        <v>400000</v>
      </c>
    </row>
    <row r="36" spans="1:7">
      <c r="A36" s="1">
        <v>2024</v>
      </c>
      <c r="B36" s="1" t="s">
        <v>223</v>
      </c>
      <c r="C36" s="3">
        <v>45597</v>
      </c>
      <c r="D36" s="21">
        <v>400000</v>
      </c>
      <c r="E36" s="21">
        <f t="shared" ca="1" si="0"/>
        <v>0</v>
      </c>
      <c r="F36" s="21">
        <f>SUMIFS(Entrada!C:C,Entrada!A:A,"&gt;="&amp;DATE(YEAR(C36),MONTH(C36),1),Entrada!A:A,"&lt;="&amp;EOMONTH(C36,0))</f>
        <v>0</v>
      </c>
      <c r="G36" s="21">
        <f t="shared" si="1"/>
        <v>400000</v>
      </c>
    </row>
    <row r="37" spans="1:7">
      <c r="A37" s="1">
        <v>2024</v>
      </c>
      <c r="B37" s="1" t="s">
        <v>224</v>
      </c>
      <c r="C37" s="3">
        <v>45627</v>
      </c>
      <c r="D37" s="21">
        <v>400000</v>
      </c>
      <c r="E37" s="21">
        <f t="shared" ca="1" si="0"/>
        <v>0</v>
      </c>
      <c r="F37" s="21">
        <f>SUMIFS(Entrada!C:C,Entrada!A:A,"&gt;="&amp;DATE(YEAR(C37),MONTH(C37),1),Entrada!A:A,"&lt;="&amp;EOMONTH(C37,0))</f>
        <v>0</v>
      </c>
      <c r="G37" s="21">
        <f t="shared" si="1"/>
        <v>400000</v>
      </c>
    </row>
  </sheetData>
  <autoFilter ref="A1:G1" xr:uid="{0C05215B-5277-4951-BD69-FF6C98BF8522}">
    <sortState xmlns:xlrd2="http://schemas.microsoft.com/office/spreadsheetml/2017/richdata2" ref="A2:G37">
      <sortCondition ref="A1"/>
    </sortState>
  </autoFilter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12269aa-be91-46bc-a572-1b50a48afb7f">
      <UserInfo>
        <DisplayName>Julio Cesar Barbosa De Freitas</DisplayName>
        <AccountId>23</AccountId>
        <AccountType/>
      </UserInfo>
      <UserInfo>
        <DisplayName>Jose Rodrigues de Sousa Filho</DisplayName>
        <AccountId>36</AccountId>
        <AccountType/>
      </UserInfo>
      <UserInfo>
        <DisplayName>Conrado da Silva Bispo</DisplayName>
        <AccountId>31</AccountId>
        <AccountType/>
      </UserInfo>
      <UserInfo>
        <DisplayName>Alex Assis Ferreira</DisplayName>
        <AccountId>37</AccountId>
        <AccountType/>
      </UserInfo>
      <UserInfo>
        <DisplayName>Josinaldo Souza Santos</DisplayName>
        <AccountId>33</AccountId>
        <AccountType/>
      </UserInfo>
      <UserInfo>
        <DisplayName>Andreson Mauricio Dos Santos</DisplayName>
        <AccountId>48</AccountId>
        <AccountType/>
      </UserInfo>
      <UserInfo>
        <DisplayName>Fabio Barreto Medrado</DisplayName>
        <AccountId>17</AccountId>
        <AccountType/>
      </UserInfo>
      <UserInfo>
        <DisplayName>Paulo Henrique Dias da Costa</DisplayName>
        <AccountId>10</AccountId>
        <AccountType/>
      </UserInfo>
      <UserInfo>
        <DisplayName>Jose Wilkinson Brito De Queiroz</DisplayName>
        <AccountId>24</AccountId>
        <AccountType/>
      </UserInfo>
      <UserInfo>
        <DisplayName>Cleriston Dos Santos Souza</DisplayName>
        <AccountId>50</AccountId>
        <AccountType/>
      </UserInfo>
    </SharedWithUsers>
    <_activity xmlns="fe3674a8-9dba-4b4a-95b7-3ac17b60311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1C449EED3FF84BBBC7077AF65407FF" ma:contentTypeVersion="17" ma:contentTypeDescription="Crear nuevo documento." ma:contentTypeScope="" ma:versionID="1d07c4daa7182cdb876b9457505d7002">
  <xsd:schema xmlns:xsd="http://www.w3.org/2001/XMLSchema" xmlns:xs="http://www.w3.org/2001/XMLSchema" xmlns:p="http://schemas.microsoft.com/office/2006/metadata/properties" xmlns:ns3="fe3674a8-9dba-4b4a-95b7-3ac17b603118" xmlns:ns4="c12269aa-be91-46bc-a572-1b50a48afb7f" targetNamespace="http://schemas.microsoft.com/office/2006/metadata/properties" ma:root="true" ma:fieldsID="8448c03dbc7d22158dbd7f0c79579a9f" ns3:_="" ns4:_="">
    <xsd:import namespace="fe3674a8-9dba-4b4a-95b7-3ac17b603118"/>
    <xsd:import namespace="c12269aa-be91-46bc-a572-1b50a48afb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674a8-9dba-4b4a-95b7-3ac17b6031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269aa-be91-46bc-a572-1b50a48afb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9B939-FF67-412B-8688-C6D1CD6F4727}"/>
</file>

<file path=customXml/itemProps2.xml><?xml version="1.0" encoding="utf-8"?>
<ds:datastoreItem xmlns:ds="http://schemas.openxmlformats.org/officeDocument/2006/customXml" ds:itemID="{49B61C87-168D-405C-8BE3-5CEA76C65E2E}"/>
</file>

<file path=customXml/itemProps3.xml><?xml version="1.0" encoding="utf-8"?>
<ds:datastoreItem xmlns:ds="http://schemas.openxmlformats.org/officeDocument/2006/customXml" ds:itemID="{8AA57F22-DA45-4F73-A3B1-805753D1509A}"/>
</file>

<file path=customXml/itemProps4.xml><?xml version="1.0" encoding="utf-8"?>
<ds:datastoreItem xmlns:ds="http://schemas.openxmlformats.org/officeDocument/2006/customXml" ds:itemID="{B22FA83D-6672-4489-BC99-CCD6C66DF3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Barreto Medrado</dc:creator>
  <cp:keywords/>
  <dc:description/>
  <cp:lastModifiedBy>Jonas Leal Barbosa</cp:lastModifiedBy>
  <cp:revision/>
  <dcterms:created xsi:type="dcterms:W3CDTF">2024-01-22T23:56:41Z</dcterms:created>
  <dcterms:modified xsi:type="dcterms:W3CDTF">2026-06-08T20:48:31Z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0x0101003A1C449EED3FF84BBBC7077AF65407FF</vt:lpwstr>
  </property>
  <property fmtid="{D5CDD505-2E9C-101B-9397-08002B2CF9AE}" pid="3" name="MediaServiceImageTags">
    <vt:lpwstr/>
  </property>
</Properties>
</file>